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oruspe.sharepoint.com/sites/Digital/Documentos compartidos/9. Catálogo Digital/1. Carga Productos - Vtex/Input Comercial/"/>
    </mc:Choice>
  </mc:AlternateContent>
  <xr:revisionPtr revIDLastSave="1216" documentId="8_{0943F582-1115-41CB-8849-95E1FD78EB20}" xr6:coauthVersionLast="47" xr6:coauthVersionMax="47" xr10:uidLastSave="{31A14903-39A9-4F6D-AE77-5510492B4624}"/>
  <bookViews>
    <workbookView xWindow="-108" yWindow="-108" windowWidth="23256" windowHeight="12456" activeTab="1" xr2:uid="{4E91C678-8D59-40AC-8465-8AF60A40F891}"/>
  </bookViews>
  <sheets>
    <sheet name="Hoja2" sheetId="4" r:id="rId1"/>
    <sheet name="H-M" sheetId="1" r:id="rId2"/>
    <sheet name="Hoja1" sheetId="3" r:id="rId3"/>
    <sheet name="Niños" sheetId="2" r:id="rId4"/>
  </sheets>
  <definedNames>
    <definedName name="_xlnm._FilterDatabase" localSheetId="1" hidden="1">'H-M'!$A$1:$M$188</definedName>
    <definedName name="_xlnm._FilterDatabase" localSheetId="3" hidden="1">Niños!$A$1:$XEZ$120</definedName>
    <definedName name="_xlnm.Print_Titles" localSheetId="1">'H-M'!$1:$1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0" i="1" l="1"/>
  <c r="H170" i="1"/>
  <c r="G170" i="1"/>
  <c r="F170" i="1"/>
  <c r="I133" i="1"/>
  <c r="H133" i="1"/>
  <c r="G133" i="1"/>
  <c r="F133" i="1"/>
  <c r="I132" i="1"/>
  <c r="H132" i="1"/>
  <c r="G132" i="1"/>
  <c r="F132" i="1"/>
  <c r="I134" i="1"/>
  <c r="H134" i="1"/>
  <c r="G134" i="1"/>
  <c r="F134" i="1"/>
  <c r="I149" i="1"/>
  <c r="H149" i="1"/>
  <c r="G149" i="1"/>
  <c r="F149" i="1"/>
  <c r="I171" i="1"/>
  <c r="H171" i="1"/>
  <c r="G171" i="1"/>
  <c r="F171" i="1"/>
  <c r="M39" i="2"/>
  <c r="L39" i="2"/>
  <c r="K39" i="2"/>
  <c r="J39" i="2"/>
  <c r="I39" i="2"/>
  <c r="H39" i="2"/>
  <c r="G39" i="2"/>
  <c r="F39" i="2"/>
  <c r="M38" i="2"/>
  <c r="L38" i="2"/>
  <c r="K38" i="2"/>
  <c r="J38" i="2"/>
  <c r="I38" i="2"/>
  <c r="H38" i="2"/>
  <c r="G38" i="2"/>
  <c r="F38" i="2"/>
  <c r="I55" i="1"/>
  <c r="H55" i="1"/>
  <c r="G55" i="1"/>
  <c r="F55" i="1"/>
  <c r="I34" i="1"/>
  <c r="H34" i="1"/>
  <c r="G34" i="1"/>
  <c r="F34" i="1"/>
  <c r="I74" i="1"/>
  <c r="H74" i="1"/>
  <c r="G74" i="1"/>
  <c r="F74" i="1"/>
  <c r="I154" i="1"/>
  <c r="H154" i="1"/>
  <c r="G154" i="1"/>
  <c r="F154" i="1"/>
  <c r="H115" i="1"/>
  <c r="F115" i="1"/>
  <c r="I187" i="1"/>
  <c r="H187" i="1"/>
  <c r="G187" i="1"/>
  <c r="F187" i="1"/>
  <c r="H122" i="1"/>
  <c r="I33" i="1"/>
  <c r="H33" i="1"/>
  <c r="G33" i="1"/>
  <c r="F33" i="1"/>
  <c r="I84" i="1"/>
  <c r="H84" i="1"/>
  <c r="G84" i="1"/>
  <c r="F84" i="1"/>
  <c r="I61" i="1"/>
  <c r="H61" i="1"/>
  <c r="G61" i="1"/>
  <c r="F61" i="1"/>
  <c r="I29" i="1"/>
  <c r="H29" i="1"/>
  <c r="G29" i="1"/>
  <c r="F29" i="1"/>
  <c r="M21" i="2"/>
  <c r="L21" i="2"/>
  <c r="K21" i="2"/>
  <c r="J21" i="2"/>
  <c r="I21" i="2"/>
  <c r="H21" i="2"/>
  <c r="G21" i="2"/>
  <c r="F21" i="2"/>
  <c r="I30" i="1"/>
  <c r="H30" i="1"/>
  <c r="G30" i="1"/>
  <c r="F30" i="1"/>
  <c r="I65" i="1"/>
  <c r="H65" i="1"/>
  <c r="G65" i="1"/>
  <c r="F65" i="1"/>
  <c r="I76" i="1"/>
  <c r="H76" i="1"/>
  <c r="G76" i="1"/>
  <c r="F76" i="1"/>
  <c r="I101" i="1"/>
  <c r="H101" i="1"/>
  <c r="G101" i="1"/>
  <c r="F101" i="1"/>
  <c r="I78" i="1"/>
  <c r="H78" i="1"/>
  <c r="G78" i="1"/>
  <c r="F78" i="1"/>
  <c r="I89" i="1"/>
  <c r="H89" i="1"/>
  <c r="G89" i="1"/>
  <c r="F89" i="1"/>
  <c r="M14" i="2"/>
  <c r="L14" i="2"/>
  <c r="K14" i="2"/>
  <c r="J14" i="2"/>
  <c r="I14" i="2"/>
  <c r="H14" i="2"/>
  <c r="G14" i="2"/>
  <c r="F14" i="2"/>
  <c r="I146" i="1"/>
  <c r="H146" i="1"/>
  <c r="G146" i="1"/>
  <c r="F146" i="1"/>
  <c r="I120" i="2"/>
  <c r="H120" i="2"/>
  <c r="G120" i="2"/>
  <c r="F120" i="2"/>
  <c r="I119" i="2"/>
  <c r="H119" i="2"/>
  <c r="G119" i="2"/>
  <c r="F119" i="2"/>
  <c r="M85" i="2"/>
  <c r="L85" i="2"/>
  <c r="K85" i="2"/>
  <c r="J85" i="2"/>
  <c r="I141" i="1"/>
  <c r="H141" i="1"/>
  <c r="G141" i="1"/>
  <c r="F141" i="1"/>
  <c r="I140" i="1"/>
  <c r="H140" i="1"/>
  <c r="G140" i="1"/>
  <c r="F140" i="1"/>
  <c r="I54" i="1"/>
  <c r="H54" i="1"/>
  <c r="G54" i="1"/>
  <c r="F54" i="1"/>
  <c r="I12" i="1"/>
  <c r="H12" i="1"/>
  <c r="G12" i="1"/>
  <c r="F12" i="1"/>
  <c r="F13" i="1"/>
  <c r="G13" i="1"/>
  <c r="H13" i="1"/>
  <c r="I13" i="1"/>
  <c r="I144" i="1"/>
  <c r="H144" i="1"/>
  <c r="G144" i="1"/>
  <c r="F144" i="1"/>
  <c r="I155" i="1"/>
  <c r="H155" i="1"/>
  <c r="G155" i="1"/>
  <c r="F155" i="1"/>
  <c r="I188" i="1"/>
  <c r="H188" i="1"/>
  <c r="G188" i="1"/>
  <c r="F188" i="1"/>
  <c r="I14" i="1"/>
  <c r="H14" i="1"/>
  <c r="G14" i="1"/>
  <c r="F14" i="1"/>
  <c r="I56" i="1"/>
  <c r="H56" i="1"/>
  <c r="G56" i="1"/>
  <c r="F56" i="1"/>
  <c r="I86" i="1"/>
  <c r="H86" i="1"/>
  <c r="G86" i="1"/>
  <c r="F86" i="1"/>
  <c r="I44" i="1"/>
  <c r="H44" i="1"/>
  <c r="G44" i="1"/>
  <c r="F44" i="1"/>
  <c r="I53" i="1"/>
  <c r="H53" i="1"/>
  <c r="G53" i="1"/>
  <c r="F53" i="1"/>
  <c r="I26" i="1"/>
  <c r="H26" i="1"/>
  <c r="G26" i="1"/>
  <c r="F26" i="1"/>
  <c r="I129" i="1"/>
  <c r="H129" i="1"/>
  <c r="G129" i="1"/>
  <c r="F129" i="1"/>
  <c r="I46" i="1"/>
  <c r="H46" i="1"/>
  <c r="G46" i="1"/>
  <c r="F46" i="1"/>
  <c r="I94" i="1"/>
  <c r="H94" i="1"/>
  <c r="G94" i="1"/>
  <c r="F94" i="1"/>
  <c r="I104" i="1"/>
  <c r="H104" i="1"/>
  <c r="G104" i="1"/>
  <c r="F104" i="1"/>
  <c r="I105" i="1"/>
  <c r="H105" i="1"/>
  <c r="G105" i="1"/>
  <c r="F105" i="1"/>
  <c r="M111" i="2"/>
  <c r="L111" i="2"/>
  <c r="K111" i="2"/>
  <c r="J111" i="2"/>
  <c r="M35" i="2"/>
  <c r="L35" i="2"/>
  <c r="K35" i="2"/>
  <c r="J35" i="2"/>
  <c r="I35" i="2"/>
  <c r="H35" i="2"/>
  <c r="G35" i="2"/>
  <c r="F35" i="2"/>
  <c r="M58" i="2"/>
  <c r="L58" i="2"/>
  <c r="K58" i="2"/>
  <c r="J58" i="2"/>
  <c r="I58" i="2"/>
  <c r="H58" i="2"/>
  <c r="G58" i="2"/>
  <c r="F58" i="2"/>
  <c r="M27" i="2"/>
  <c r="L27" i="2"/>
  <c r="K27" i="2"/>
  <c r="J27" i="2"/>
  <c r="I27" i="2"/>
  <c r="H27" i="2"/>
  <c r="G27" i="2"/>
  <c r="F27" i="2"/>
  <c r="M61" i="2"/>
  <c r="L61" i="2"/>
  <c r="K61" i="2"/>
  <c r="J61" i="2"/>
  <c r="I61" i="2"/>
  <c r="H61" i="2"/>
  <c r="G61" i="2"/>
  <c r="F61" i="2"/>
  <c r="M34" i="2"/>
  <c r="L34" i="2"/>
  <c r="K34" i="2"/>
  <c r="J34" i="2"/>
  <c r="I34" i="2"/>
  <c r="H34" i="2"/>
  <c r="G34" i="2"/>
  <c r="F34" i="2"/>
  <c r="I27" i="1"/>
  <c r="H27" i="1"/>
  <c r="G27" i="1"/>
  <c r="F27" i="1"/>
  <c r="I72" i="1"/>
  <c r="H72" i="1"/>
  <c r="G72" i="1"/>
  <c r="F72" i="1"/>
  <c r="I28" i="1"/>
  <c r="H28" i="1"/>
  <c r="G28" i="1"/>
  <c r="F28" i="1"/>
  <c r="I70" i="1"/>
  <c r="H70" i="1"/>
  <c r="G70" i="1"/>
  <c r="F70" i="1"/>
  <c r="I41" i="1"/>
  <c r="H41" i="1"/>
  <c r="G41" i="1"/>
  <c r="F41" i="1"/>
  <c r="I186" i="1"/>
  <c r="H186" i="1"/>
  <c r="G186" i="1"/>
  <c r="F186" i="1"/>
  <c r="H185" i="1"/>
  <c r="I18" i="1"/>
  <c r="H18" i="1"/>
  <c r="G18" i="1"/>
  <c r="F18" i="1"/>
  <c r="M11" i="2" l="1"/>
  <c r="L11" i="2"/>
  <c r="K11" i="2"/>
  <c r="J11" i="2"/>
  <c r="I11" i="2"/>
  <c r="H11" i="2"/>
  <c r="G11" i="2"/>
  <c r="F11" i="2"/>
  <c r="M4" i="2"/>
  <c r="L4" i="2"/>
  <c r="K4" i="2"/>
  <c r="J4" i="2"/>
  <c r="I4" i="2"/>
  <c r="H4" i="2"/>
  <c r="G4" i="2"/>
  <c r="F4" i="2"/>
  <c r="I15" i="1"/>
  <c r="H15" i="1"/>
  <c r="G15" i="1"/>
  <c r="F15" i="1"/>
  <c r="I6" i="1"/>
  <c r="H6" i="1"/>
  <c r="G6" i="1"/>
  <c r="F6" i="1"/>
  <c r="I8" i="1"/>
  <c r="H8" i="1"/>
  <c r="G8" i="1"/>
  <c r="F8" i="1"/>
  <c r="M102" i="2"/>
  <c r="L102" i="2"/>
  <c r="K102" i="2"/>
  <c r="J102" i="2"/>
  <c r="I102" i="2"/>
  <c r="H102" i="2"/>
  <c r="G102" i="2"/>
  <c r="F102" i="2"/>
  <c r="M99" i="2" l="1"/>
  <c r="L99" i="2"/>
  <c r="K99" i="2"/>
  <c r="J99" i="2"/>
  <c r="I99" i="2"/>
  <c r="H99" i="2"/>
  <c r="G99" i="2"/>
  <c r="F99" i="2"/>
  <c r="M20" i="2"/>
  <c r="L20" i="2"/>
  <c r="K20" i="2"/>
  <c r="J20" i="2"/>
  <c r="I20" i="2"/>
  <c r="H20" i="2"/>
  <c r="G20" i="2"/>
  <c r="F20" i="2"/>
  <c r="M91" i="2"/>
  <c r="L91" i="2"/>
  <c r="K91" i="2"/>
  <c r="J91" i="2"/>
  <c r="H91" i="2"/>
  <c r="G91" i="2"/>
  <c r="F91" i="2"/>
  <c r="M9" i="2"/>
  <c r="L9" i="2"/>
  <c r="K9" i="2"/>
  <c r="J9" i="2"/>
  <c r="I9" i="2"/>
  <c r="H9" i="2"/>
  <c r="G9" i="2"/>
  <c r="F9" i="2"/>
  <c r="H121" i="1"/>
  <c r="I119" i="1"/>
  <c r="H119" i="1"/>
  <c r="G119" i="1"/>
  <c r="F119" i="1"/>
  <c r="I185" i="1"/>
  <c r="G185" i="1"/>
  <c r="F185" i="1"/>
  <c r="I100" i="1"/>
  <c r="H100" i="1"/>
  <c r="G100" i="1"/>
  <c r="F100" i="1"/>
  <c r="I81" i="1"/>
  <c r="H81" i="1"/>
  <c r="G81" i="1"/>
  <c r="F81" i="1"/>
  <c r="I82" i="1"/>
  <c r="H82" i="1"/>
  <c r="G82" i="1"/>
  <c r="F82" i="1"/>
  <c r="F184" i="1"/>
  <c r="H184" i="1"/>
  <c r="M44" i="2"/>
  <c r="L44" i="2"/>
  <c r="K44" i="2"/>
  <c r="J44" i="2"/>
  <c r="I44" i="2"/>
  <c r="H44" i="2"/>
  <c r="G44" i="2"/>
  <c r="F44" i="2"/>
  <c r="I128" i="1"/>
  <c r="H128" i="1"/>
  <c r="G128" i="1"/>
  <c r="F128" i="1"/>
  <c r="I3" i="1"/>
  <c r="H3" i="1"/>
  <c r="G3" i="1"/>
  <c r="F3" i="1"/>
  <c r="I60" i="1"/>
  <c r="H60" i="1"/>
  <c r="G60" i="1"/>
  <c r="F60" i="1"/>
  <c r="I112" i="1"/>
  <c r="H112" i="1"/>
  <c r="G112" i="1"/>
  <c r="F112" i="1"/>
  <c r="I163" i="1"/>
  <c r="H163" i="1"/>
  <c r="G163" i="1"/>
  <c r="F163" i="1"/>
  <c r="F156" i="1"/>
  <c r="M63" i="2"/>
  <c r="L63" i="2"/>
  <c r="K63" i="2"/>
  <c r="J63" i="2"/>
  <c r="I63" i="2"/>
  <c r="H63" i="2"/>
  <c r="G63" i="2"/>
  <c r="F63" i="2"/>
  <c r="I106" i="1"/>
  <c r="H106" i="1"/>
  <c r="G106" i="1"/>
  <c r="F106" i="1"/>
  <c r="I183" i="1"/>
  <c r="H183" i="1"/>
  <c r="I182" i="1"/>
  <c r="H182" i="1"/>
  <c r="I181" i="1"/>
  <c r="H181" i="1"/>
  <c r="I180" i="1"/>
  <c r="H180" i="1"/>
  <c r="I179" i="1"/>
  <c r="H179" i="1"/>
  <c r="G183" i="1"/>
  <c r="G182" i="1"/>
  <c r="G181" i="1"/>
  <c r="G180" i="1"/>
  <c r="F183" i="1"/>
  <c r="F182" i="1"/>
  <c r="F181" i="1"/>
  <c r="F180" i="1"/>
  <c r="G179" i="1"/>
  <c r="F179" i="1"/>
  <c r="I137" i="1"/>
  <c r="H137" i="1"/>
  <c r="G137" i="1"/>
  <c r="F137" i="1"/>
  <c r="I58" i="1"/>
  <c r="H58" i="1"/>
  <c r="G58" i="1"/>
  <c r="F58" i="1"/>
  <c r="M164" i="1"/>
  <c r="I156" i="1"/>
  <c r="H156" i="1"/>
  <c r="G156" i="1"/>
  <c r="I113" i="1"/>
  <c r="H113" i="1"/>
  <c r="G113" i="1"/>
  <c r="F113" i="1"/>
  <c r="I64" i="1"/>
  <c r="H64" i="1"/>
  <c r="G64" i="1"/>
  <c r="F64" i="1"/>
  <c r="I102" i="1"/>
  <c r="H102" i="1"/>
  <c r="G102" i="1"/>
  <c r="F102" i="1"/>
  <c r="I43" i="1"/>
  <c r="H43" i="1"/>
  <c r="G43" i="1"/>
  <c r="F43" i="1"/>
  <c r="M92" i="2"/>
  <c r="H92" i="2"/>
  <c r="G92" i="2"/>
  <c r="F92" i="2"/>
  <c r="M117" i="2"/>
  <c r="L117" i="2"/>
  <c r="K117" i="2"/>
  <c r="J117" i="2"/>
  <c r="M86" i="2"/>
  <c r="L86" i="2"/>
  <c r="K86" i="2"/>
  <c r="J86" i="2"/>
  <c r="M45" i="2"/>
  <c r="L45" i="2"/>
  <c r="K45" i="2"/>
  <c r="J45" i="2"/>
  <c r="I45" i="2"/>
  <c r="H45" i="2"/>
  <c r="G45" i="2"/>
  <c r="F45" i="2"/>
  <c r="I99" i="1"/>
  <c r="H99" i="1"/>
  <c r="G99" i="1"/>
  <c r="F99" i="1"/>
  <c r="I175" i="1"/>
  <c r="H175" i="1"/>
  <c r="G175" i="1"/>
  <c r="F175" i="1"/>
  <c r="I32" i="1"/>
  <c r="H32" i="1"/>
  <c r="G32" i="1"/>
  <c r="F32" i="1"/>
  <c r="M103" i="2"/>
  <c r="L103" i="2"/>
  <c r="K103" i="2"/>
  <c r="J103" i="2"/>
  <c r="I103" i="2"/>
  <c r="H103" i="2"/>
  <c r="G103" i="2"/>
  <c r="F103" i="2"/>
  <c r="I104" i="2"/>
  <c r="H104" i="2"/>
  <c r="G104" i="2"/>
  <c r="F104" i="2"/>
  <c r="F101" i="2"/>
  <c r="G101" i="2"/>
  <c r="H101" i="2"/>
  <c r="I101" i="2"/>
  <c r="I100" i="2"/>
  <c r="H100" i="2"/>
  <c r="G100" i="2"/>
  <c r="F100" i="2"/>
  <c r="I142" i="1"/>
  <c r="H142" i="1"/>
  <c r="G142" i="1"/>
  <c r="F142" i="1"/>
  <c r="I127" i="1"/>
  <c r="H127" i="1"/>
  <c r="G127" i="1"/>
  <c r="F127" i="1"/>
  <c r="F67" i="1"/>
  <c r="G67" i="1"/>
  <c r="H67" i="1"/>
  <c r="I67" i="1"/>
  <c r="I2" i="1"/>
  <c r="H2" i="1"/>
  <c r="G2" i="1"/>
  <c r="F2" i="1"/>
  <c r="I96" i="1"/>
  <c r="H96" i="1"/>
  <c r="G96" i="1"/>
  <c r="F96" i="1"/>
  <c r="I51" i="1"/>
  <c r="H51" i="1"/>
  <c r="G51" i="1"/>
  <c r="F51" i="1"/>
  <c r="I10" i="1"/>
  <c r="H10" i="1"/>
  <c r="G10" i="1"/>
  <c r="F10" i="1"/>
  <c r="I95" i="1" l="1"/>
  <c r="H95" i="1"/>
  <c r="G95" i="1"/>
  <c r="F95" i="1"/>
  <c r="I178" i="1"/>
  <c r="H178" i="1"/>
  <c r="G178" i="1"/>
  <c r="F178" i="1"/>
  <c r="I177" i="1"/>
  <c r="H177" i="1"/>
  <c r="G177" i="1"/>
  <c r="F177" i="1"/>
  <c r="I47" i="1"/>
  <c r="H47" i="1"/>
  <c r="G47" i="1"/>
  <c r="F47" i="1"/>
  <c r="F7" i="3"/>
  <c r="A1" i="3"/>
  <c r="M84" i="2"/>
  <c r="L84" i="2"/>
  <c r="K84" i="2"/>
  <c r="J84" i="2"/>
  <c r="M28" i="2"/>
  <c r="L28" i="2"/>
  <c r="K28" i="2"/>
  <c r="J28" i="2"/>
  <c r="I28" i="2"/>
  <c r="H28" i="2"/>
  <c r="G28" i="2"/>
  <c r="F28" i="2"/>
  <c r="M50" i="2"/>
  <c r="L50" i="2"/>
  <c r="K50" i="2"/>
  <c r="J50" i="2"/>
  <c r="I50" i="2"/>
  <c r="H50" i="2"/>
  <c r="G50" i="2"/>
  <c r="F50" i="2"/>
  <c r="M47" i="2"/>
  <c r="L47" i="2"/>
  <c r="K47" i="2"/>
  <c r="J47" i="2"/>
  <c r="I47" i="2"/>
  <c r="H47" i="2"/>
  <c r="G47" i="2"/>
  <c r="F47" i="2"/>
  <c r="I126" i="1"/>
  <c r="H126" i="1"/>
  <c r="G126" i="1"/>
  <c r="F126" i="1"/>
  <c r="M60" i="2"/>
  <c r="L60" i="2"/>
  <c r="K60" i="2"/>
  <c r="J60" i="2"/>
  <c r="I60" i="2"/>
  <c r="H60" i="2"/>
  <c r="G60" i="2"/>
  <c r="F60" i="2"/>
  <c r="M37" i="2"/>
  <c r="L37" i="2"/>
  <c r="K37" i="2"/>
  <c r="J37" i="2"/>
  <c r="I37" i="2"/>
  <c r="H37" i="2"/>
  <c r="G37" i="2"/>
  <c r="F37" i="2"/>
  <c r="M46" i="2"/>
  <c r="L46" i="2"/>
  <c r="K46" i="2"/>
  <c r="J46" i="2"/>
  <c r="I46" i="2"/>
  <c r="H46" i="2"/>
  <c r="G46" i="2"/>
  <c r="F46" i="2"/>
  <c r="M57" i="2"/>
  <c r="L57" i="2"/>
  <c r="K57" i="2"/>
  <c r="J57" i="2"/>
  <c r="I57" i="2"/>
  <c r="H57" i="2"/>
  <c r="G57" i="2"/>
  <c r="F57" i="2"/>
  <c r="M56" i="2"/>
  <c r="L56" i="2"/>
  <c r="K56" i="2"/>
  <c r="J56" i="2"/>
  <c r="I56" i="2"/>
  <c r="H56" i="2"/>
  <c r="G56" i="2"/>
  <c r="F56" i="2"/>
  <c r="M31" i="2"/>
  <c r="L31" i="2"/>
  <c r="K31" i="2"/>
  <c r="J31" i="2"/>
  <c r="I31" i="2"/>
  <c r="H31" i="2"/>
  <c r="G31" i="2"/>
  <c r="F31" i="2"/>
  <c r="M30" i="2"/>
  <c r="L30" i="2"/>
  <c r="K30" i="2"/>
  <c r="J30" i="2"/>
  <c r="I30" i="2"/>
  <c r="H30" i="2"/>
  <c r="G30" i="2"/>
  <c r="F30" i="2"/>
  <c r="M51" i="2"/>
  <c r="L51" i="2"/>
  <c r="K51" i="2"/>
  <c r="J51" i="2"/>
  <c r="I51" i="2"/>
  <c r="H51" i="2"/>
  <c r="G51" i="2"/>
  <c r="F51" i="2"/>
  <c r="I88" i="1"/>
  <c r="H88" i="1"/>
  <c r="G88" i="1"/>
  <c r="F88" i="1"/>
  <c r="I42" i="1"/>
  <c r="H42" i="1"/>
  <c r="G42" i="1"/>
  <c r="F42" i="1"/>
  <c r="I40" i="1"/>
  <c r="H40" i="1"/>
  <c r="G40" i="1"/>
  <c r="F40" i="1"/>
  <c r="I36" i="1"/>
  <c r="H36" i="1"/>
  <c r="G36" i="1"/>
  <c r="F36" i="1"/>
  <c r="M118" i="2"/>
  <c r="M115" i="2"/>
  <c r="M114" i="2"/>
  <c r="M113" i="2"/>
  <c r="M112" i="2"/>
  <c r="M110" i="2"/>
  <c r="M109" i="2"/>
  <c r="M108" i="2"/>
  <c r="M107" i="2"/>
  <c r="M106" i="2"/>
  <c r="M105" i="2"/>
  <c r="M104" i="2"/>
  <c r="M101" i="2"/>
  <c r="M100" i="2"/>
  <c r="M98" i="2"/>
  <c r="M97" i="2"/>
  <c r="M96" i="2"/>
  <c r="M95" i="2"/>
  <c r="M94" i="2"/>
  <c r="M93" i="2"/>
  <c r="M90" i="2"/>
  <c r="M89" i="2"/>
  <c r="M88" i="2"/>
  <c r="M87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2" i="2"/>
  <c r="M59" i="2"/>
  <c r="M55" i="2"/>
  <c r="M54" i="2"/>
  <c r="M53" i="2"/>
  <c r="M52" i="2"/>
  <c r="M49" i="2"/>
  <c r="M48" i="2"/>
  <c r="M43" i="2"/>
  <c r="M42" i="2"/>
  <c r="M41" i="2"/>
  <c r="M40" i="2"/>
  <c r="M36" i="2"/>
  <c r="M29" i="2"/>
  <c r="M26" i="2"/>
  <c r="M25" i="2"/>
  <c r="M23" i="2"/>
  <c r="M22" i="2"/>
  <c r="M19" i="2"/>
  <c r="M18" i="2"/>
  <c r="M17" i="2"/>
  <c r="M16" i="2"/>
  <c r="M15" i="2"/>
  <c r="M13" i="2"/>
  <c r="M12" i="2"/>
  <c r="M10" i="2"/>
  <c r="M8" i="2"/>
  <c r="M7" i="2"/>
  <c r="M6" i="2"/>
  <c r="M5" i="2"/>
  <c r="M3" i="2"/>
  <c r="M2" i="2"/>
  <c r="L118" i="2"/>
  <c r="K118" i="2"/>
  <c r="J118" i="2"/>
  <c r="L115" i="2"/>
  <c r="K115" i="2"/>
  <c r="J115" i="2"/>
  <c r="L114" i="2"/>
  <c r="K114" i="2"/>
  <c r="J114" i="2"/>
  <c r="L113" i="2"/>
  <c r="K113" i="2"/>
  <c r="J113" i="2"/>
  <c r="L112" i="2"/>
  <c r="K112" i="2"/>
  <c r="J112" i="2"/>
  <c r="L110" i="2"/>
  <c r="K110" i="2"/>
  <c r="J110" i="2"/>
  <c r="L109" i="2"/>
  <c r="K109" i="2"/>
  <c r="J109" i="2"/>
  <c r="L108" i="2"/>
  <c r="K108" i="2"/>
  <c r="J108" i="2"/>
  <c r="L107" i="2"/>
  <c r="K107" i="2"/>
  <c r="J107" i="2"/>
  <c r="L106" i="2"/>
  <c r="K106" i="2"/>
  <c r="J106" i="2"/>
  <c r="L105" i="2"/>
  <c r="K105" i="2"/>
  <c r="J105" i="2"/>
  <c r="L104" i="2"/>
  <c r="K104" i="2"/>
  <c r="J104" i="2"/>
  <c r="L101" i="2"/>
  <c r="K101" i="2"/>
  <c r="J101" i="2"/>
  <c r="L100" i="2"/>
  <c r="K100" i="2"/>
  <c r="J100" i="2"/>
  <c r="L98" i="2"/>
  <c r="K98" i="2"/>
  <c r="J98" i="2"/>
  <c r="L97" i="2"/>
  <c r="K97" i="2"/>
  <c r="J97" i="2"/>
  <c r="L96" i="2"/>
  <c r="K96" i="2"/>
  <c r="J96" i="2"/>
  <c r="L95" i="2"/>
  <c r="K95" i="2"/>
  <c r="J95" i="2"/>
  <c r="L94" i="2"/>
  <c r="K94" i="2"/>
  <c r="J94" i="2"/>
  <c r="L93" i="2"/>
  <c r="K93" i="2"/>
  <c r="J93" i="2"/>
  <c r="L92" i="2"/>
  <c r="K92" i="2"/>
  <c r="J92" i="2"/>
  <c r="L90" i="2"/>
  <c r="K90" i="2"/>
  <c r="J90" i="2"/>
  <c r="L89" i="2"/>
  <c r="K89" i="2"/>
  <c r="J89" i="2"/>
  <c r="L88" i="2"/>
  <c r="K88" i="2"/>
  <c r="J88" i="2"/>
  <c r="L87" i="2"/>
  <c r="K87" i="2"/>
  <c r="J87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2" i="2"/>
  <c r="K62" i="2"/>
  <c r="J62" i="2"/>
  <c r="L59" i="2"/>
  <c r="K59" i="2"/>
  <c r="J59" i="2"/>
  <c r="L55" i="2"/>
  <c r="K55" i="2"/>
  <c r="J55" i="2"/>
  <c r="L54" i="2"/>
  <c r="K54" i="2"/>
  <c r="J54" i="2"/>
  <c r="L53" i="2"/>
  <c r="K53" i="2"/>
  <c r="J53" i="2"/>
  <c r="L52" i="2"/>
  <c r="K52" i="2"/>
  <c r="J52" i="2"/>
  <c r="L49" i="2"/>
  <c r="K49" i="2"/>
  <c r="J49" i="2"/>
  <c r="L48" i="2"/>
  <c r="K48" i="2"/>
  <c r="J48" i="2"/>
  <c r="L43" i="2"/>
  <c r="K43" i="2"/>
  <c r="J43" i="2"/>
  <c r="L42" i="2"/>
  <c r="K42" i="2"/>
  <c r="J42" i="2"/>
  <c r="L41" i="2"/>
  <c r="K41" i="2"/>
  <c r="J41" i="2"/>
  <c r="L40" i="2"/>
  <c r="K40" i="2"/>
  <c r="J40" i="2"/>
  <c r="L36" i="2"/>
  <c r="K36" i="2"/>
  <c r="J36" i="2"/>
  <c r="L29" i="2"/>
  <c r="K29" i="2"/>
  <c r="J29" i="2"/>
  <c r="L26" i="2"/>
  <c r="K26" i="2"/>
  <c r="J26" i="2"/>
  <c r="L25" i="2"/>
  <c r="K25" i="2"/>
  <c r="J25" i="2"/>
  <c r="L23" i="2"/>
  <c r="K23" i="2"/>
  <c r="J23" i="2"/>
  <c r="L22" i="2"/>
  <c r="K22" i="2"/>
  <c r="J22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3" i="2"/>
  <c r="K13" i="2"/>
  <c r="J13" i="2"/>
  <c r="L12" i="2"/>
  <c r="K12" i="2"/>
  <c r="J12" i="2"/>
  <c r="L10" i="2"/>
  <c r="K10" i="2"/>
  <c r="J10" i="2"/>
  <c r="L8" i="2"/>
  <c r="K8" i="2"/>
  <c r="J8" i="2"/>
  <c r="L7" i="2"/>
  <c r="K7" i="2"/>
  <c r="J7" i="2"/>
  <c r="L6" i="2"/>
  <c r="K6" i="2"/>
  <c r="J6" i="2"/>
  <c r="L5" i="2"/>
  <c r="K5" i="2"/>
  <c r="J5" i="2"/>
  <c r="L3" i="2"/>
  <c r="K3" i="2"/>
  <c r="J3" i="2"/>
  <c r="L2" i="2"/>
  <c r="K2" i="2"/>
  <c r="J2" i="2"/>
  <c r="I125" i="1"/>
  <c r="H125" i="1"/>
  <c r="G125" i="1"/>
  <c r="F125" i="1"/>
  <c r="I59" i="1"/>
  <c r="H59" i="1"/>
  <c r="G59" i="1"/>
  <c r="F59" i="1"/>
  <c r="I48" i="1"/>
  <c r="H48" i="1"/>
  <c r="G48" i="1"/>
  <c r="F48" i="1"/>
  <c r="I63" i="1"/>
  <c r="H63" i="1"/>
  <c r="G63" i="1"/>
  <c r="F63" i="1"/>
  <c r="I52" i="1"/>
  <c r="H52" i="1"/>
  <c r="G52" i="1"/>
  <c r="F52" i="1"/>
  <c r="I50" i="1"/>
  <c r="H50" i="1"/>
  <c r="G50" i="1"/>
  <c r="F50" i="1"/>
  <c r="I49" i="1"/>
  <c r="H49" i="1"/>
  <c r="G49" i="1"/>
  <c r="F49" i="1"/>
  <c r="F57" i="1"/>
  <c r="G57" i="1"/>
  <c r="H57" i="1"/>
  <c r="I57" i="1"/>
  <c r="I136" i="1"/>
  <c r="H136" i="1"/>
  <c r="G136" i="1"/>
  <c r="F136" i="1"/>
  <c r="I7" i="2"/>
  <c r="H7" i="2"/>
  <c r="G7" i="2"/>
  <c r="F7" i="2"/>
  <c r="I13" i="2"/>
  <c r="H13" i="2"/>
  <c r="G13" i="2"/>
  <c r="F13" i="2"/>
  <c r="I3" i="2"/>
  <c r="H3" i="2"/>
  <c r="G3" i="2"/>
  <c r="F3" i="2"/>
  <c r="I8" i="2"/>
  <c r="H8" i="2"/>
  <c r="G8" i="2"/>
  <c r="F8" i="2"/>
  <c r="I97" i="1"/>
  <c r="H97" i="1"/>
  <c r="G97" i="1"/>
  <c r="F97" i="1"/>
  <c r="I21" i="1"/>
  <c r="H21" i="1"/>
  <c r="G21" i="1"/>
  <c r="F21" i="1"/>
  <c r="I118" i="1"/>
  <c r="H118" i="1"/>
  <c r="G118" i="1"/>
  <c r="F118" i="1"/>
  <c r="I123" i="1"/>
  <c r="H123" i="1"/>
  <c r="G123" i="1"/>
  <c r="F123" i="1"/>
  <c r="I174" i="1"/>
  <c r="H174" i="1"/>
  <c r="G174" i="1"/>
  <c r="F174" i="1"/>
  <c r="I176" i="1" l="1"/>
  <c r="H176" i="1"/>
  <c r="G176" i="1"/>
  <c r="F176" i="1"/>
  <c r="I118" i="2"/>
  <c r="H118" i="2"/>
  <c r="G118" i="2"/>
  <c r="F118" i="2"/>
  <c r="I115" i="2"/>
  <c r="H115" i="2"/>
  <c r="G115" i="2"/>
  <c r="F115" i="2"/>
  <c r="I114" i="2"/>
  <c r="H114" i="2"/>
  <c r="G114" i="2"/>
  <c r="F114" i="2"/>
  <c r="I113" i="2"/>
  <c r="H113" i="2"/>
  <c r="G113" i="2"/>
  <c r="F113" i="2"/>
  <c r="I110" i="2"/>
  <c r="H110" i="2"/>
  <c r="G110" i="2"/>
  <c r="F110" i="2"/>
  <c r="I109" i="2"/>
  <c r="H109" i="2"/>
  <c r="G109" i="2"/>
  <c r="F109" i="2"/>
  <c r="I108" i="2"/>
  <c r="H108" i="2"/>
  <c r="G108" i="2"/>
  <c r="F108" i="2"/>
  <c r="I107" i="2"/>
  <c r="H107" i="2"/>
  <c r="G107" i="2"/>
  <c r="F107" i="2"/>
  <c r="I106" i="2"/>
  <c r="H106" i="2"/>
  <c r="G106" i="2"/>
  <c r="F106" i="2"/>
  <c r="I105" i="2"/>
  <c r="H105" i="2"/>
  <c r="G105" i="2"/>
  <c r="F105" i="2"/>
  <c r="I98" i="2"/>
  <c r="H98" i="2"/>
  <c r="G98" i="2"/>
  <c r="F98" i="2"/>
  <c r="I97" i="2"/>
  <c r="H97" i="2"/>
  <c r="G97" i="2"/>
  <c r="F97" i="2"/>
  <c r="I96" i="2"/>
  <c r="H96" i="2"/>
  <c r="G96" i="2"/>
  <c r="F96" i="2"/>
  <c r="I95" i="2"/>
  <c r="H95" i="2"/>
  <c r="G95" i="2"/>
  <c r="F95" i="2"/>
  <c r="I94" i="2"/>
  <c r="H94" i="2"/>
  <c r="G94" i="2"/>
  <c r="F94" i="2"/>
  <c r="I93" i="2"/>
  <c r="H93" i="2"/>
  <c r="G93" i="2"/>
  <c r="F93" i="2"/>
  <c r="I88" i="2"/>
  <c r="H88" i="2"/>
  <c r="G88" i="2"/>
  <c r="F88" i="2"/>
  <c r="I87" i="2"/>
  <c r="H87" i="2"/>
  <c r="G87" i="2"/>
  <c r="F87" i="2"/>
  <c r="I82" i="2"/>
  <c r="H82" i="2"/>
  <c r="G82" i="2"/>
  <c r="F82" i="2"/>
  <c r="I81" i="2"/>
  <c r="H81" i="2"/>
  <c r="G81" i="2"/>
  <c r="F81" i="2"/>
  <c r="I80" i="2"/>
  <c r="H80" i="2"/>
  <c r="G80" i="2"/>
  <c r="F80" i="2"/>
  <c r="I79" i="2"/>
  <c r="H79" i="2"/>
  <c r="G79" i="2"/>
  <c r="F79" i="2"/>
  <c r="I78" i="2"/>
  <c r="H78" i="2"/>
  <c r="G78" i="2"/>
  <c r="F78" i="2"/>
  <c r="I77" i="2"/>
  <c r="H77" i="2"/>
  <c r="G77" i="2"/>
  <c r="F77" i="2"/>
  <c r="I76" i="2"/>
  <c r="H76" i="2"/>
  <c r="G76" i="2"/>
  <c r="F76" i="2"/>
  <c r="I75" i="2"/>
  <c r="H75" i="2"/>
  <c r="G75" i="2"/>
  <c r="F75" i="2"/>
  <c r="I74" i="2"/>
  <c r="H74" i="2"/>
  <c r="G74" i="2"/>
  <c r="F74" i="2"/>
  <c r="I73" i="2"/>
  <c r="H73" i="2"/>
  <c r="G73" i="2"/>
  <c r="F73" i="2"/>
  <c r="I72" i="2"/>
  <c r="H72" i="2"/>
  <c r="G72" i="2"/>
  <c r="F72" i="2"/>
  <c r="I71" i="2"/>
  <c r="H71" i="2"/>
  <c r="G71" i="2"/>
  <c r="F71" i="2"/>
  <c r="I70" i="2"/>
  <c r="H70" i="2"/>
  <c r="G70" i="2"/>
  <c r="F70" i="2"/>
  <c r="I69" i="2"/>
  <c r="H69" i="2"/>
  <c r="G69" i="2"/>
  <c r="F69" i="2"/>
  <c r="I68" i="2"/>
  <c r="H68" i="2"/>
  <c r="G68" i="2"/>
  <c r="F68" i="2"/>
  <c r="I65" i="2"/>
  <c r="H65" i="2"/>
  <c r="G65" i="2"/>
  <c r="F65" i="2"/>
  <c r="I64" i="2"/>
  <c r="H64" i="2"/>
  <c r="G64" i="2"/>
  <c r="F64" i="2"/>
  <c r="I62" i="2"/>
  <c r="H62" i="2"/>
  <c r="G62" i="2"/>
  <c r="F62" i="2"/>
  <c r="I59" i="2"/>
  <c r="H59" i="2"/>
  <c r="G59" i="2"/>
  <c r="F59" i="2"/>
  <c r="I55" i="2"/>
  <c r="H55" i="2"/>
  <c r="G55" i="2"/>
  <c r="F55" i="2"/>
  <c r="I54" i="2"/>
  <c r="H54" i="2"/>
  <c r="G54" i="2"/>
  <c r="F54" i="2"/>
  <c r="I53" i="2"/>
  <c r="H53" i="2"/>
  <c r="G53" i="2"/>
  <c r="F53" i="2"/>
  <c r="I52" i="2"/>
  <c r="H52" i="2"/>
  <c r="G52" i="2"/>
  <c r="F52" i="2"/>
  <c r="I49" i="2"/>
  <c r="H49" i="2"/>
  <c r="G49" i="2"/>
  <c r="F49" i="2"/>
  <c r="I48" i="2"/>
  <c r="H48" i="2"/>
  <c r="G48" i="2"/>
  <c r="F48" i="2"/>
  <c r="I43" i="2"/>
  <c r="H43" i="2"/>
  <c r="G43" i="2"/>
  <c r="F43" i="2"/>
  <c r="I42" i="2"/>
  <c r="H42" i="2"/>
  <c r="G42" i="2"/>
  <c r="F42" i="2"/>
  <c r="I41" i="2"/>
  <c r="H41" i="2"/>
  <c r="G41" i="2"/>
  <c r="F41" i="2"/>
  <c r="I40" i="2"/>
  <c r="H40" i="2"/>
  <c r="G40" i="2"/>
  <c r="F40" i="2"/>
  <c r="I36" i="2"/>
  <c r="H36" i="2"/>
  <c r="G36" i="2"/>
  <c r="F36" i="2"/>
  <c r="I29" i="2"/>
  <c r="H29" i="2"/>
  <c r="G29" i="2"/>
  <c r="F29" i="2"/>
  <c r="I26" i="2"/>
  <c r="H26" i="2"/>
  <c r="G26" i="2"/>
  <c r="F26" i="2"/>
  <c r="I25" i="2"/>
  <c r="H25" i="2"/>
  <c r="G25" i="2"/>
  <c r="F25" i="2"/>
  <c r="I23" i="2"/>
  <c r="H23" i="2"/>
  <c r="G23" i="2"/>
  <c r="F23" i="2"/>
  <c r="I22" i="2"/>
  <c r="H22" i="2"/>
  <c r="G22" i="2"/>
  <c r="F22" i="2"/>
  <c r="I19" i="2"/>
  <c r="H19" i="2"/>
  <c r="G19" i="2"/>
  <c r="F19" i="2"/>
  <c r="I18" i="2"/>
  <c r="H18" i="2"/>
  <c r="G18" i="2"/>
  <c r="F18" i="2"/>
  <c r="I17" i="2"/>
  <c r="H17" i="2"/>
  <c r="G17" i="2"/>
  <c r="F17" i="2"/>
  <c r="I16" i="2"/>
  <c r="H16" i="2"/>
  <c r="G16" i="2"/>
  <c r="F16" i="2"/>
  <c r="I15" i="2"/>
  <c r="H15" i="2"/>
  <c r="G15" i="2"/>
  <c r="F15" i="2"/>
  <c r="I12" i="2"/>
  <c r="H12" i="2"/>
  <c r="G12" i="2"/>
  <c r="F12" i="2"/>
  <c r="I10" i="2"/>
  <c r="H10" i="2"/>
  <c r="G10" i="2"/>
  <c r="F10" i="2"/>
  <c r="I6" i="2"/>
  <c r="H6" i="2"/>
  <c r="G6" i="2"/>
  <c r="F6" i="2"/>
  <c r="I5" i="2"/>
  <c r="H5" i="2"/>
  <c r="G5" i="2"/>
  <c r="F5" i="2"/>
  <c r="I2" i="2"/>
  <c r="H2" i="2"/>
  <c r="G2" i="2"/>
  <c r="F2" i="2"/>
  <c r="I23" i="1"/>
  <c r="I22" i="1"/>
  <c r="I20" i="1"/>
  <c r="I19" i="1"/>
  <c r="I17" i="1"/>
  <c r="I16" i="1"/>
  <c r="I11" i="1"/>
  <c r="I9" i="1"/>
  <c r="I7" i="1"/>
  <c r="I4" i="1"/>
  <c r="I173" i="1"/>
  <c r="I172" i="1"/>
  <c r="I168" i="1"/>
  <c r="I167" i="1"/>
  <c r="I166" i="1"/>
  <c r="I165" i="1"/>
  <c r="I164" i="1"/>
  <c r="I162" i="1"/>
  <c r="I161" i="1"/>
  <c r="I160" i="1"/>
  <c r="I159" i="1"/>
  <c r="I158" i="1"/>
  <c r="I157" i="1"/>
  <c r="I150" i="1"/>
  <c r="I148" i="1"/>
  <c r="I147" i="1"/>
  <c r="I145" i="1"/>
  <c r="I143" i="1"/>
  <c r="I139" i="1"/>
  <c r="I138" i="1"/>
  <c r="I135" i="1"/>
  <c r="I131" i="1"/>
  <c r="I130" i="1"/>
  <c r="I124" i="1"/>
  <c r="I120" i="1"/>
  <c r="I117" i="1"/>
  <c r="I116" i="1"/>
  <c r="I114" i="1"/>
  <c r="I111" i="1"/>
  <c r="I110" i="1"/>
  <c r="I109" i="1"/>
  <c r="I108" i="1"/>
  <c r="I107" i="1"/>
  <c r="I103" i="1"/>
  <c r="I98" i="1"/>
  <c r="I93" i="1"/>
  <c r="I92" i="1"/>
  <c r="I90" i="1"/>
  <c r="I87" i="1"/>
  <c r="I85" i="1"/>
  <c r="I83" i="1"/>
  <c r="I80" i="1"/>
  <c r="I79" i="1"/>
  <c r="I77" i="1"/>
  <c r="I75" i="1"/>
  <c r="I73" i="1"/>
  <c r="I71" i="1"/>
  <c r="I69" i="1"/>
  <c r="I68" i="1"/>
  <c r="I66" i="1"/>
  <c r="I62" i="1"/>
  <c r="I45" i="1"/>
  <c r="I39" i="1"/>
  <c r="I38" i="1"/>
  <c r="I37" i="1"/>
  <c r="I35" i="1"/>
  <c r="I31" i="1"/>
  <c r="I25" i="1"/>
  <c r="I24" i="1"/>
  <c r="H173" i="1"/>
  <c r="G173" i="1"/>
  <c r="F173" i="1"/>
  <c r="H172" i="1"/>
  <c r="G172" i="1"/>
  <c r="F172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0" i="1"/>
  <c r="G150" i="1"/>
  <c r="F150" i="1"/>
  <c r="H148" i="1"/>
  <c r="G148" i="1"/>
  <c r="F148" i="1"/>
  <c r="H147" i="1"/>
  <c r="G147" i="1"/>
  <c r="F147" i="1"/>
  <c r="H145" i="1"/>
  <c r="G145" i="1"/>
  <c r="F145" i="1"/>
  <c r="H143" i="1"/>
  <c r="G143" i="1"/>
  <c r="F143" i="1"/>
  <c r="H139" i="1"/>
  <c r="G139" i="1"/>
  <c r="F139" i="1"/>
  <c r="H138" i="1"/>
  <c r="G138" i="1"/>
  <c r="F138" i="1"/>
  <c r="H135" i="1"/>
  <c r="G135" i="1"/>
  <c r="F135" i="1"/>
  <c r="H131" i="1"/>
  <c r="G131" i="1"/>
  <c r="F131" i="1"/>
  <c r="H130" i="1"/>
  <c r="G130" i="1"/>
  <c r="F130" i="1"/>
  <c r="H124" i="1"/>
  <c r="G124" i="1"/>
  <c r="F124" i="1"/>
  <c r="H120" i="1"/>
  <c r="G120" i="1"/>
  <c r="F120" i="1"/>
  <c r="H117" i="1"/>
  <c r="G117" i="1"/>
  <c r="F117" i="1"/>
  <c r="H116" i="1"/>
  <c r="G116" i="1"/>
  <c r="F116" i="1"/>
  <c r="H114" i="1"/>
  <c r="G114" i="1"/>
  <c r="F114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3" i="1"/>
  <c r="G103" i="1"/>
  <c r="F103" i="1"/>
  <c r="H98" i="1"/>
  <c r="G98" i="1"/>
  <c r="F98" i="1"/>
  <c r="H93" i="1"/>
  <c r="G93" i="1"/>
  <c r="F93" i="1"/>
  <c r="H92" i="1"/>
  <c r="G92" i="1"/>
  <c r="F92" i="1"/>
  <c r="H90" i="1"/>
  <c r="G90" i="1"/>
  <c r="F90" i="1"/>
  <c r="H87" i="1"/>
  <c r="G87" i="1"/>
  <c r="F87" i="1"/>
  <c r="H85" i="1"/>
  <c r="G85" i="1"/>
  <c r="F85" i="1"/>
  <c r="H83" i="1"/>
  <c r="G83" i="1"/>
  <c r="F83" i="1"/>
  <c r="H80" i="1"/>
  <c r="G80" i="1"/>
  <c r="F80" i="1"/>
  <c r="H79" i="1"/>
  <c r="G79" i="1"/>
  <c r="F79" i="1"/>
  <c r="H77" i="1"/>
  <c r="G77" i="1"/>
  <c r="F77" i="1"/>
  <c r="H75" i="1"/>
  <c r="G75" i="1"/>
  <c r="F75" i="1"/>
  <c r="H73" i="1"/>
  <c r="G73" i="1"/>
  <c r="F73" i="1"/>
  <c r="H71" i="1"/>
  <c r="G71" i="1"/>
  <c r="F71" i="1"/>
  <c r="H69" i="1"/>
  <c r="G69" i="1"/>
  <c r="F69" i="1"/>
  <c r="H68" i="1"/>
  <c r="G68" i="1"/>
  <c r="F68" i="1"/>
  <c r="H66" i="1"/>
  <c r="G66" i="1"/>
  <c r="F66" i="1"/>
  <c r="H62" i="1"/>
  <c r="G62" i="1"/>
  <c r="F62" i="1"/>
  <c r="H45" i="1"/>
  <c r="G45" i="1"/>
  <c r="F45" i="1"/>
  <c r="H39" i="1"/>
  <c r="G39" i="1"/>
  <c r="F39" i="1"/>
  <c r="H38" i="1"/>
  <c r="G38" i="1"/>
  <c r="F38" i="1"/>
  <c r="H37" i="1"/>
  <c r="G37" i="1"/>
  <c r="F37" i="1"/>
  <c r="H35" i="1"/>
  <c r="G35" i="1"/>
  <c r="F35" i="1"/>
  <c r="H31" i="1"/>
  <c r="G31" i="1"/>
  <c r="F31" i="1"/>
  <c r="H25" i="1"/>
  <c r="G25" i="1"/>
  <c r="F25" i="1"/>
  <c r="H24" i="1"/>
  <c r="G24" i="1"/>
  <c r="F24" i="1"/>
  <c r="H23" i="1"/>
  <c r="G23" i="1"/>
  <c r="F23" i="1"/>
  <c r="H22" i="1"/>
  <c r="G22" i="1"/>
  <c r="F22" i="1"/>
  <c r="H20" i="1"/>
  <c r="G20" i="1"/>
  <c r="F20" i="1"/>
  <c r="H19" i="1"/>
  <c r="G19" i="1"/>
  <c r="F19" i="1"/>
  <c r="H17" i="1"/>
  <c r="G17" i="1"/>
  <c r="F17" i="1"/>
  <c r="H16" i="1"/>
  <c r="G16" i="1"/>
  <c r="F16" i="1"/>
  <c r="H11" i="1"/>
  <c r="G11" i="1"/>
  <c r="F11" i="1"/>
  <c r="H9" i="1"/>
  <c r="G9" i="1"/>
  <c r="F9" i="1"/>
  <c r="H7" i="1"/>
  <c r="G7" i="1"/>
  <c r="F7" i="1"/>
  <c r="H4" i="1"/>
  <c r="G4" i="1"/>
  <c r="F4" i="1"/>
</calcChain>
</file>

<file path=xl/sharedStrings.xml><?xml version="1.0" encoding="utf-8"?>
<sst xmlns="http://schemas.openxmlformats.org/spreadsheetml/2006/main" count="791" uniqueCount="263">
  <si>
    <t>Tipo de Producto</t>
  </si>
  <si>
    <t>Alto (cm)</t>
  </si>
  <si>
    <t>Ancho (cm)</t>
  </si>
  <si>
    <t>Largo (cm)</t>
  </si>
  <si>
    <t>Peso (gr)</t>
  </si>
  <si>
    <t>Product Height</t>
  </si>
  <si>
    <t>Product Width</t>
  </si>
  <si>
    <t>Product Length</t>
  </si>
  <si>
    <t>SANDALIA</t>
  </si>
  <si>
    <t>0.400</t>
  </si>
  <si>
    <t>BOTA</t>
  </si>
  <si>
    <t>1.000</t>
  </si>
  <si>
    <t>BOTÍN</t>
  </si>
  <si>
    <t>ZAPATO</t>
  </si>
  <si>
    <t>1.100</t>
  </si>
  <si>
    <t>ZAPATILLA</t>
  </si>
  <si>
    <t>0.900</t>
  </si>
  <si>
    <t>ALPARGATA</t>
  </si>
  <si>
    <t>PANTUFLA</t>
  </si>
  <si>
    <t>0.684</t>
  </si>
  <si>
    <t>MOCASIN</t>
  </si>
  <si>
    <t>BALLERINA</t>
  </si>
  <si>
    <t>0.600</t>
  </si>
  <si>
    <t>SUECO</t>
  </si>
  <si>
    <t>SLIP ON</t>
  </si>
  <si>
    <t>0.875</t>
  </si>
  <si>
    <t>INTERIOR TÉRMICO</t>
  </si>
  <si>
    <t>0.200</t>
  </si>
  <si>
    <t>CASACA</t>
  </si>
  <si>
    <t>0.700</t>
  </si>
  <si>
    <t>0.500</t>
  </si>
  <si>
    <t>CHALECO</t>
  </si>
  <si>
    <t>0.760</t>
  </si>
  <si>
    <t>CHOMPA</t>
  </si>
  <si>
    <t>CAMISA</t>
  </si>
  <si>
    <t>0.300</t>
  </si>
  <si>
    <t>POLO</t>
  </si>
  <si>
    <t>PANTALÓN</t>
  </si>
  <si>
    <t>SHORT</t>
  </si>
  <si>
    <t>ROPA DE BAÑO</t>
  </si>
  <si>
    <t>POLERON</t>
  </si>
  <si>
    <t>CROP</t>
  </si>
  <si>
    <t>BLUSA</t>
  </si>
  <si>
    <t>JEAN</t>
  </si>
  <si>
    <t>0.553</t>
  </si>
  <si>
    <t>BIKINI ENTERO</t>
  </si>
  <si>
    <t>0.160</t>
  </si>
  <si>
    <t>BIKINI BOTTOM</t>
  </si>
  <si>
    <t>0.100</t>
  </si>
  <si>
    <t>BIKINI TOP</t>
  </si>
  <si>
    <t>TRAJE DE BAÑO</t>
  </si>
  <si>
    <t>ENTERIZO</t>
  </si>
  <si>
    <t>FALDA</t>
  </si>
  <si>
    <t>POLERA</t>
  </si>
  <si>
    <t>VESTIDO</t>
  </si>
  <si>
    <t>LEGGING</t>
  </si>
  <si>
    <t>LYCRA DE SURF</t>
  </si>
  <si>
    <t>WETSUIT</t>
  </si>
  <si>
    <t>1.010</t>
  </si>
  <si>
    <t>BRA</t>
  </si>
  <si>
    <t>0.110</t>
  </si>
  <si>
    <t>LENTES</t>
  </si>
  <si>
    <t>-</t>
  </si>
  <si>
    <t>CREMA DE LIMPIEZA</t>
  </si>
  <si>
    <t>0.118</t>
  </si>
  <si>
    <t>ESCOBILLA DE LIMPIEZA</t>
  </si>
  <si>
    <t>0.240</t>
  </si>
  <si>
    <t>ESPONJA DE LIMPIEZA</t>
  </si>
  <si>
    <t>KIT DE LIMPIEZA</t>
  </si>
  <si>
    <t>LOCION DE LIMPIEZA</t>
  </si>
  <si>
    <t>PROTECTOR DE LIMPIEZA</t>
  </si>
  <si>
    <t>SHAMPOO DE LIMPIEZA</t>
  </si>
  <si>
    <t>BASTON</t>
  </si>
  <si>
    <t>BILLETERA</t>
  </si>
  <si>
    <t>BOLSO</t>
  </si>
  <si>
    <t>FUNDA</t>
  </si>
  <si>
    <t>BOTELLA</t>
  </si>
  <si>
    <t>0.392</t>
  </si>
  <si>
    <t>TAZON</t>
  </si>
  <si>
    <t>PAÑUELO</t>
  </si>
  <si>
    <t>0.239</t>
  </si>
  <si>
    <t>MEDIA</t>
  </si>
  <si>
    <t>CARTERA</t>
  </si>
  <si>
    <t>CERA</t>
  </si>
  <si>
    <t>0.890</t>
  </si>
  <si>
    <t>GORRO</t>
  </si>
  <si>
    <t>0.800</t>
  </si>
  <si>
    <t>LANYARD</t>
  </si>
  <si>
    <t>LIBRO</t>
  </si>
  <si>
    <t>LONCHERA</t>
  </si>
  <si>
    <t>MALETA</t>
  </si>
  <si>
    <t>MALETÍN</t>
  </si>
  <si>
    <t>MAT</t>
  </si>
  <si>
    <t>MOCHILA</t>
  </si>
  <si>
    <t>NECESERE</t>
  </si>
  <si>
    <t>HERRAMIENTA SKATE</t>
  </si>
  <si>
    <t>LIJA SKATE</t>
  </si>
  <si>
    <t>PERNO SKATE</t>
  </si>
  <si>
    <t>SKATEBOARD</t>
  </si>
  <si>
    <t>TABLA SKATEBOARD</t>
  </si>
  <si>
    <t>TRUCK SKATEBOARD</t>
  </si>
  <si>
    <t>CASCO</t>
  </si>
  <si>
    <t>SOMBRERO</t>
  </si>
  <si>
    <t>TARJETERO</t>
  </si>
  <si>
    <t>TOALLA</t>
  </si>
  <si>
    <t>VENDA BOX</t>
  </si>
  <si>
    <t>VISERA</t>
  </si>
  <si>
    <t>CHULLO</t>
  </si>
  <si>
    <t>CANGURO</t>
  </si>
  <si>
    <t>CORREA</t>
  </si>
  <si>
    <t>POLERÓN</t>
  </si>
  <si>
    <t>BOTIN</t>
  </si>
  <si>
    <t>CALCETIN</t>
  </si>
  <si>
    <t>MALETIN</t>
  </si>
  <si>
    <t>MOCASÍN</t>
  </si>
  <si>
    <t>LYCRA</t>
  </si>
  <si>
    <t>SANDALIAS</t>
  </si>
  <si>
    <t>ZAPATOS CASUALES</t>
  </si>
  <si>
    <t>BOTINES</t>
  </si>
  <si>
    <t>GORRA</t>
  </si>
  <si>
    <t>POLO MANGA CORTA</t>
  </si>
  <si>
    <t>POLO MANGA LARGA</t>
  </si>
  <si>
    <t>POLO SIN MANGA</t>
  </si>
  <si>
    <t>BIKER</t>
  </si>
  <si>
    <t>HOODIE</t>
  </si>
  <si>
    <t>BUZO</t>
  </si>
  <si>
    <t>MEDIAS</t>
  </si>
  <si>
    <t>FLEECE</t>
  </si>
  <si>
    <t>CAMISA M/L</t>
  </si>
  <si>
    <t>POLERA M/C</t>
  </si>
  <si>
    <t>BLUSA SIN MANGAS</t>
  </si>
  <si>
    <t>CAMISA MANGA LARGA</t>
  </si>
  <si>
    <t>CAMISA MANGA CORTA</t>
  </si>
  <si>
    <t>BIKINI</t>
  </si>
  <si>
    <t>POLERA MANGA CORTA</t>
  </si>
  <si>
    <t>POLERA DE AGUA</t>
  </si>
  <si>
    <t>CONJUNTO</t>
  </si>
  <si>
    <t>0.293</t>
  </si>
  <si>
    <t>POLERA sin mangas</t>
  </si>
  <si>
    <t>BLUSA MANGA CORTA</t>
  </si>
  <si>
    <t>Sweater</t>
  </si>
  <si>
    <t>CALCETÍN</t>
  </si>
  <si>
    <t>POLO BÁSICO</t>
  </si>
  <si>
    <t>POLERÓN HOODIE</t>
  </si>
  <si>
    <t>POLERÓN CREW</t>
  </si>
  <si>
    <t>CUELLERA</t>
  </si>
  <si>
    <t>TRAJE DE SURF</t>
  </si>
  <si>
    <t>BOTAS DE AGUA</t>
  </si>
  <si>
    <t>POLO SIN MANGAS</t>
  </si>
  <si>
    <t>TRAJE</t>
  </si>
  <si>
    <t>COOLER</t>
  </si>
  <si>
    <t>SALIDA DE BAÑO</t>
  </si>
  <si>
    <t>SET DE COLETS</t>
  </si>
  <si>
    <t>CARTUCHERA</t>
  </si>
  <si>
    <t>PARKA</t>
  </si>
  <si>
    <t>BUFANDA</t>
  </si>
  <si>
    <t>CINTURÓN</t>
  </si>
  <si>
    <t>WETSUITS</t>
  </si>
  <si>
    <t>GUANTE</t>
  </si>
  <si>
    <t>Polera polo</t>
  </si>
  <si>
    <t>GUANTES</t>
  </si>
  <si>
    <t>NECESER</t>
  </si>
  <si>
    <t>JOGGER</t>
  </si>
  <si>
    <t>Juego D</t>
  </si>
  <si>
    <t>Juego A</t>
  </si>
  <si>
    <t>Juego B</t>
  </si>
  <si>
    <t>Juego C</t>
  </si>
  <si>
    <t>Juego E</t>
  </si>
  <si>
    <t>PASAMONTAÑA</t>
  </si>
  <si>
    <t>OVEROL</t>
  </si>
  <si>
    <t>Sombrilla</t>
  </si>
  <si>
    <t>diámetro 160 cm de la sombrilla y altura regulable hasta 180 cms</t>
  </si>
  <si>
    <t>Product Weight (gr)</t>
  </si>
  <si>
    <t>2.5</t>
  </si>
  <si>
    <t>ZAPATO DE SEGURIDAD</t>
  </si>
  <si>
    <t>Sweatshirt Para Mujer  Livia Gris Bsoul</t>
  </si>
  <si>
    <t xml:space="preserve">Sweatshirt </t>
  </si>
  <si>
    <t>TABAQUERA</t>
  </si>
  <si>
    <t>MORRAL</t>
  </si>
  <si>
    <t>ENTERIZO CORTO</t>
  </si>
  <si>
    <t>ENTERIZO LARGO</t>
  </si>
  <si>
    <t>BOLERO TOP</t>
  </si>
  <si>
    <t>20</t>
  </si>
  <si>
    <t>Bastón de Trekking</t>
  </si>
  <si>
    <t>FUNDA PARA LATA</t>
  </si>
  <si>
    <t>Tumbler</t>
  </si>
  <si>
    <t>CUP</t>
  </si>
  <si>
    <t>400</t>
  </si>
  <si>
    <t>ZAPATO ESCOLAR</t>
  </si>
  <si>
    <t>LEGGINGS</t>
  </si>
  <si>
    <t>MOCHILA ESCOLAR</t>
  </si>
  <si>
    <t>CARTUCHERA ESCOLAR</t>
  </si>
  <si>
    <t>BOTAS</t>
  </si>
  <si>
    <t>ZAPATILLAS</t>
  </si>
  <si>
    <t>PANTUFLAS</t>
  </si>
  <si>
    <t>CAMISA manga larga</t>
  </si>
  <si>
    <t>BLUSA manga larga</t>
  </si>
  <si>
    <t>CASACA IMPERMEABLE</t>
  </si>
  <si>
    <t>JEANS</t>
  </si>
  <si>
    <t>Chaqueta</t>
  </si>
  <si>
    <t>POLO M/L</t>
  </si>
  <si>
    <t>POLO M/C</t>
  </si>
  <si>
    <t>Jardinera</t>
  </si>
  <si>
    <t>POLO Manga larga</t>
  </si>
  <si>
    <t>POLO manga corta</t>
  </si>
  <si>
    <t>Visera</t>
  </si>
  <si>
    <t>Tarjetero</t>
  </si>
  <si>
    <t>Llavero</t>
  </si>
  <si>
    <t>SACO DE DORMIR</t>
  </si>
  <si>
    <t>CARTERA MOCHILA</t>
  </si>
  <si>
    <t>Medias</t>
  </si>
  <si>
    <t>Primera capa</t>
  </si>
  <si>
    <t>PANTALÓN buzo</t>
  </si>
  <si>
    <t>PANTALONES</t>
  </si>
  <si>
    <t>POLOS</t>
  </si>
  <si>
    <t>POLERAS</t>
  </si>
  <si>
    <t>ZAPATILLA DE SEGURIDAD</t>
  </si>
  <si>
    <t>Zapatilla</t>
  </si>
  <si>
    <t>Bolsa de dormir</t>
  </si>
  <si>
    <t>MOCASINES</t>
  </si>
  <si>
    <t>ZAPATOS</t>
  </si>
  <si>
    <t>Estuche</t>
  </si>
  <si>
    <t>Palazzo</t>
  </si>
  <si>
    <t>Blusa</t>
  </si>
  <si>
    <t>Lente</t>
  </si>
  <si>
    <t>Colet</t>
  </si>
  <si>
    <t>Clip</t>
  </si>
  <si>
    <t>Media</t>
  </si>
  <si>
    <t>Maletines</t>
  </si>
  <si>
    <t>BIKINIS BOTTOM</t>
  </si>
  <si>
    <t>BIKINIS TOP</t>
  </si>
  <si>
    <t>TOPS</t>
  </si>
  <si>
    <t>CASACAS</t>
  </si>
  <si>
    <t>ROPAS DE BAÑO</t>
  </si>
  <si>
    <t>LYCRAS</t>
  </si>
  <si>
    <t>SHORTS</t>
  </si>
  <si>
    <t>VESTIDOS</t>
  </si>
  <si>
    <t>BividiS</t>
  </si>
  <si>
    <t>BikiniS</t>
  </si>
  <si>
    <t>TOP</t>
  </si>
  <si>
    <t>FALDAS</t>
  </si>
  <si>
    <t>ENTERIZOS</t>
  </si>
  <si>
    <t>Polar</t>
  </si>
  <si>
    <t>CORTAVIENTOS</t>
  </si>
  <si>
    <t>Cortavientos</t>
  </si>
  <si>
    <t>Short</t>
  </si>
  <si>
    <t>Falda</t>
  </si>
  <si>
    <t>POLARES</t>
  </si>
  <si>
    <t>CAMISAS</t>
  </si>
  <si>
    <t>POLAR</t>
  </si>
  <si>
    <t>TAZA</t>
  </si>
  <si>
    <t>Bolsas</t>
  </si>
  <si>
    <t>Bastones</t>
  </si>
  <si>
    <t>Cuchilla</t>
  </si>
  <si>
    <t>ONEPIECE</t>
  </si>
  <si>
    <t>Polerones</t>
  </si>
  <si>
    <t>PANTALON</t>
  </si>
  <si>
    <t>BEANIE</t>
  </si>
  <si>
    <t>MOCHILA WR</t>
  </si>
  <si>
    <t>GORRO LANA</t>
  </si>
  <si>
    <t>BUCKET</t>
  </si>
  <si>
    <t>BOINA</t>
  </si>
  <si>
    <t>PORTA BOTELLA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</si>
</sst>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4" borderId="3" xfId="0" applyFill="1" applyBorder="1"/>
    <xf numFmtId="0" fontId="0" fillId="0" borderId="3" xfId="0" applyBorder="1"/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0" fontId="0" fillId="0" borderId="5" xfId="0" applyBorder="1"/>
    <xf numFmtId="0" fontId="2" fillId="0" borderId="6" xfId="1" applyBorder="1"/>
    <xf numFmtId="0" fontId="2" fillId="0" borderId="0" xfId="1"/>
    <xf numFmtId="0" fontId="0" fillId="5" borderId="0" xfId="0" applyFill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5" borderId="1" xfId="0" applyFill="1" applyBorder="1"/>
    <xf numFmtId="2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15" xfId="1" xr:uid="{A660EE47-D970-44F7-91B9-9E7EC7D9FD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20595</xdr:colOff>
      <xdr:row>165</xdr:row>
      <xdr:rowOff>169059</xdr:rowOff>
    </xdr:from>
    <xdr:to>
      <xdr:col>20</xdr:col>
      <xdr:colOff>590146</xdr:colOff>
      <xdr:row>176</xdr:row>
      <xdr:rowOff>144161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39573B-F804-13BE-4C2F-6BAB76DE7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2973" y="20537113"/>
          <a:ext cx="8395497" cy="2013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9</xdr:row>
      <xdr:rowOff>140970</xdr:rowOff>
    </xdr:from>
    <xdr:to>
      <xdr:col>18</xdr:col>
      <xdr:colOff>175260</xdr:colOff>
      <xdr:row>123</xdr:row>
      <xdr:rowOff>103599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F70E0C-AF9C-48F4-A697-F155F518A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872490"/>
          <a:ext cx="3985260" cy="1017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C1B2-6DE7-4CF7-A4E2-9FC2782B21C6}">
  <sheetPr codeName="Hoja3"/>
  <dimension ref="A1:E15"/>
  <sheetViews>
    <sheetView workbookViewId="0">
      <selection activeCell="B23" sqref="B23"/>
    </sheetView>
  </sheetViews>
  <sheetFormatPr baseColWidth="10" defaultRowHeight="14.4" x14ac:dyDescent="0.3"/>
  <sheetData>
    <row r="1" spans="1:5" x14ac:dyDescent="0.3">
      <c r="A1" s="6" t="s">
        <v>1</v>
      </c>
      <c r="B1" s="6" t="s">
        <v>2</v>
      </c>
      <c r="C1" s="6" t="s">
        <v>3</v>
      </c>
      <c r="D1" s="3" t="s">
        <v>4</v>
      </c>
    </row>
    <row r="2" spans="1:5" x14ac:dyDescent="0.3">
      <c r="A2" s="6" t="s">
        <v>2</v>
      </c>
    </row>
    <row r="3" spans="1:5" x14ac:dyDescent="0.3">
      <c r="A3" s="6" t="s">
        <v>3</v>
      </c>
    </row>
    <row r="4" spans="1:5" x14ac:dyDescent="0.3">
      <c r="A4" s="3" t="s">
        <v>4</v>
      </c>
    </row>
    <row r="12" spans="1:5" x14ac:dyDescent="0.3">
      <c r="E12" t="s">
        <v>1</v>
      </c>
    </row>
    <row r="13" spans="1:5" x14ac:dyDescent="0.3">
      <c r="E13" t="s">
        <v>2</v>
      </c>
    </row>
    <row r="14" spans="1:5" x14ac:dyDescent="0.3">
      <c r="E14" t="s">
        <v>3</v>
      </c>
    </row>
    <row r="15" spans="1:5" x14ac:dyDescent="0.3">
      <c r="E1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8FD6-DEBF-46C2-A280-B102F5DAD7DA}">
  <sheetPr codeName="Hoja2"/>
  <dimension ref="A1:M188"/>
  <sheetViews>
    <sheetView showGridLines="0" tabSelected="1" zoomScale="66" zoomScaleNormal="66" workbookViewId="0">
      <pane ySplit="1" topLeftCell="A2" activePane="bottomLeft" state="frozen"/>
      <selection pane="bottomLeft" activeCell="A171" sqref="A171"/>
    </sheetView>
  </sheetViews>
  <sheetFormatPr baseColWidth="10" defaultColWidth="11.44140625" defaultRowHeight="14.4" x14ac:dyDescent="0.3"/>
  <cols>
    <col min="1" max="1" width="24.44140625" customWidth="1"/>
    <col min="2" max="2" width="13.33203125" style="8" customWidth="1"/>
    <col min="3" max="3" width="11.44140625" style="8"/>
    <col min="4" max="4" width="16.44140625" style="8" customWidth="1"/>
    <col min="5" max="5" width="12.6640625" style="5" customWidth="1"/>
    <col min="6" max="6" width="19.88671875" style="5" customWidth="1"/>
    <col min="7" max="7" width="22.109375" style="5" customWidth="1"/>
    <col min="8" max="8" width="20" style="5" customWidth="1"/>
    <col min="9" max="9" width="23.33203125" style="5" customWidth="1"/>
    <col min="10" max="10" width="15.5546875" bestFit="1" customWidth="1"/>
  </cols>
  <sheetData>
    <row r="1" spans="1:9" ht="13.2" customHeight="1" x14ac:dyDescent="0.3">
      <c r="A1" s="1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12" t="s">
        <v>5</v>
      </c>
      <c r="G1" s="12" t="s">
        <v>6</v>
      </c>
      <c r="H1" s="12" t="s">
        <v>7</v>
      </c>
      <c r="I1" s="12" t="s">
        <v>172</v>
      </c>
    </row>
    <row r="2" spans="1:9" x14ac:dyDescent="0.3">
      <c r="A2" s="2" t="s">
        <v>150</v>
      </c>
      <c r="B2" s="7">
        <v>0.22</v>
      </c>
      <c r="C2" s="7">
        <v>0.21</v>
      </c>
      <c r="D2" s="7">
        <v>7.0000000000000007E-2</v>
      </c>
      <c r="E2" s="4" t="s">
        <v>35</v>
      </c>
      <c r="F2" s="11">
        <f>IFERROR(B2*100,"-")</f>
        <v>22</v>
      </c>
      <c r="G2" s="11">
        <f t="shared" ref="G2" si="0">IFERROR(C2*100,"-")</f>
        <v>21</v>
      </c>
      <c r="H2" s="11">
        <f t="shared" ref="H2" si="1">IFERROR(D2*100,"-")</f>
        <v>7.0000000000000009</v>
      </c>
      <c r="I2" s="11">
        <f t="shared" ref="I2" si="2">IFERROR(E2*1000,"-")</f>
        <v>300</v>
      </c>
    </row>
    <row r="3" spans="1:9" x14ac:dyDescent="0.3">
      <c r="A3" s="2" t="s">
        <v>177</v>
      </c>
      <c r="B3" s="7">
        <v>0.15</v>
      </c>
      <c r="C3" s="7">
        <v>0.1</v>
      </c>
      <c r="D3" s="7">
        <v>0.01</v>
      </c>
      <c r="E3" s="4" t="s">
        <v>48</v>
      </c>
      <c r="F3" s="11">
        <f>IFERROR(B3*100,"-")</f>
        <v>15</v>
      </c>
      <c r="G3" s="11">
        <f t="shared" ref="G3" si="3">IFERROR(C3*100,"-")</f>
        <v>10</v>
      </c>
      <c r="H3" s="11">
        <f t="shared" ref="H3" si="4">IFERROR(D3*100,"-")</f>
        <v>1</v>
      </c>
      <c r="I3" s="11">
        <f t="shared" ref="I3" si="5">IFERROR(E3*1000,"-")</f>
        <v>100</v>
      </c>
    </row>
    <row r="4" spans="1:9" x14ac:dyDescent="0.3">
      <c r="A4" s="2" t="s">
        <v>8</v>
      </c>
      <c r="B4" s="7">
        <v>0.05</v>
      </c>
      <c r="C4" s="7">
        <v>0.23</v>
      </c>
      <c r="D4" s="7">
        <v>0.3</v>
      </c>
      <c r="E4" s="4" t="s">
        <v>9</v>
      </c>
      <c r="F4" s="11">
        <f>IFERROR(B4*100,"-")</f>
        <v>5</v>
      </c>
      <c r="G4" s="11">
        <f t="shared" ref="G4:G157" si="6">IFERROR(C4*100,"-")</f>
        <v>23</v>
      </c>
      <c r="H4" s="11">
        <f t="shared" ref="H4:H157" si="7">IFERROR(D4*100,"-")</f>
        <v>30</v>
      </c>
      <c r="I4" s="11">
        <f t="shared" ref="I4:I23" si="8">IFERROR(E4*1000,"-")</f>
        <v>400</v>
      </c>
    </row>
    <row r="5" spans="1:9" x14ac:dyDescent="0.3">
      <c r="A5" s="2" t="s">
        <v>116</v>
      </c>
      <c r="B5" s="7">
        <v>0.05</v>
      </c>
      <c r="C5" s="7">
        <v>0.23</v>
      </c>
      <c r="D5" s="7">
        <v>0.3</v>
      </c>
      <c r="E5" s="4" t="s">
        <v>9</v>
      </c>
      <c r="F5" s="11">
        <v>5</v>
      </c>
      <c r="G5" s="11">
        <v>23</v>
      </c>
      <c r="H5" s="11">
        <v>30</v>
      </c>
      <c r="I5" s="11">
        <v>400</v>
      </c>
    </row>
    <row r="6" spans="1:9" x14ac:dyDescent="0.3">
      <c r="A6" s="2" t="s">
        <v>192</v>
      </c>
      <c r="B6" s="7">
        <v>0.13</v>
      </c>
      <c r="C6" s="7">
        <v>0.2</v>
      </c>
      <c r="D6" s="7">
        <v>0.35</v>
      </c>
      <c r="E6" s="4" t="s">
        <v>11</v>
      </c>
      <c r="F6" s="11">
        <f t="shared" ref="F6" si="9">IFERROR(B6*100,"-")</f>
        <v>13</v>
      </c>
      <c r="G6" s="11">
        <f t="shared" ref="G6" si="10">IFERROR(C6*100,"-")</f>
        <v>20</v>
      </c>
      <c r="H6" s="11">
        <f t="shared" ref="H6" si="11">IFERROR(D6*100,"-")</f>
        <v>35</v>
      </c>
      <c r="I6" s="11">
        <f t="shared" ref="I6" si="12">IFERROR(E6*1000,"-")</f>
        <v>1000</v>
      </c>
    </row>
    <row r="7" spans="1:9" x14ac:dyDescent="0.3">
      <c r="A7" s="2" t="s">
        <v>10</v>
      </c>
      <c r="B7" s="7">
        <v>0.13</v>
      </c>
      <c r="C7" s="7">
        <v>0.2</v>
      </c>
      <c r="D7" s="7">
        <v>0.35</v>
      </c>
      <c r="E7" s="4" t="s">
        <v>11</v>
      </c>
      <c r="F7" s="11">
        <f t="shared" ref="F7:F158" si="13">IFERROR(B7*100,"-")</f>
        <v>13</v>
      </c>
      <c r="G7" s="11">
        <f t="shared" si="6"/>
        <v>20</v>
      </c>
      <c r="H7" s="11">
        <f t="shared" si="7"/>
        <v>35</v>
      </c>
      <c r="I7" s="11">
        <f t="shared" si="8"/>
        <v>1000</v>
      </c>
    </row>
    <row r="8" spans="1:9" x14ac:dyDescent="0.3">
      <c r="A8" s="2" t="s">
        <v>118</v>
      </c>
      <c r="B8" s="7">
        <v>0.12</v>
      </c>
      <c r="C8" s="7">
        <v>0.23</v>
      </c>
      <c r="D8" s="7">
        <v>0.34</v>
      </c>
      <c r="E8" s="4">
        <v>0.93200000000000005</v>
      </c>
      <c r="F8" s="11">
        <f t="shared" ref="F8" si="14">IFERROR(B8*100,"-")</f>
        <v>12</v>
      </c>
      <c r="G8" s="11">
        <f t="shared" ref="G8" si="15">IFERROR(C8*100,"-")</f>
        <v>23</v>
      </c>
      <c r="H8" s="11">
        <f t="shared" ref="H8" si="16">IFERROR(D8*100,"-")</f>
        <v>34</v>
      </c>
      <c r="I8" s="11">
        <f t="shared" ref="I8" si="17">IFERROR(E8*1000,"-")</f>
        <v>932</v>
      </c>
    </row>
    <row r="9" spans="1:9" x14ac:dyDescent="0.3">
      <c r="A9" s="2" t="s">
        <v>12</v>
      </c>
      <c r="B9" s="7">
        <v>0.12</v>
      </c>
      <c r="C9" s="7">
        <v>0.23</v>
      </c>
      <c r="D9" s="7">
        <v>0.34</v>
      </c>
      <c r="E9" s="4">
        <v>0.93200000000000005</v>
      </c>
      <c r="F9" s="11">
        <f t="shared" si="13"/>
        <v>12</v>
      </c>
      <c r="G9" s="11">
        <f t="shared" si="6"/>
        <v>23</v>
      </c>
      <c r="H9" s="11">
        <f t="shared" si="7"/>
        <v>34</v>
      </c>
      <c r="I9" s="11">
        <f t="shared" si="8"/>
        <v>932</v>
      </c>
    </row>
    <row r="10" spans="1:9" x14ac:dyDescent="0.3">
      <c r="A10" s="2" t="s">
        <v>147</v>
      </c>
      <c r="B10" s="7">
        <v>0.12</v>
      </c>
      <c r="C10" s="7">
        <v>0.23</v>
      </c>
      <c r="D10" s="7">
        <v>0.34</v>
      </c>
      <c r="E10" s="4">
        <v>0.93200000000000005</v>
      </c>
      <c r="F10" s="11">
        <f t="shared" ref="F10" si="18">IFERROR(B10*100,"-")</f>
        <v>12</v>
      </c>
      <c r="G10" s="11">
        <f t="shared" ref="G10" si="19">IFERROR(C10*100,"-")</f>
        <v>23</v>
      </c>
      <c r="H10" s="11">
        <f t="shared" ref="H10" si="20">IFERROR(D10*100,"-")</f>
        <v>34</v>
      </c>
      <c r="I10" s="11">
        <f t="shared" ref="I10" si="21">IFERROR(E10*1000,"-")</f>
        <v>932</v>
      </c>
    </row>
    <row r="11" spans="1:9" ht="13.2" customHeight="1" x14ac:dyDescent="0.3">
      <c r="A11" s="2" t="s">
        <v>220</v>
      </c>
      <c r="B11" s="7">
        <v>0.13</v>
      </c>
      <c r="C11" s="7">
        <v>0.21</v>
      </c>
      <c r="D11" s="7">
        <v>0.34</v>
      </c>
      <c r="E11" s="4" t="s">
        <v>14</v>
      </c>
      <c r="F11" s="11">
        <f t="shared" si="13"/>
        <v>13</v>
      </c>
      <c r="G11" s="11">
        <f t="shared" si="6"/>
        <v>21</v>
      </c>
      <c r="H11" s="11">
        <f t="shared" si="7"/>
        <v>34</v>
      </c>
      <c r="I11" s="11">
        <f t="shared" si="8"/>
        <v>1100</v>
      </c>
    </row>
    <row r="12" spans="1:9" ht="13.2" customHeight="1" x14ac:dyDescent="0.3">
      <c r="A12" s="2" t="s">
        <v>13</v>
      </c>
      <c r="B12" s="7">
        <v>0.13</v>
      </c>
      <c r="C12" s="7">
        <v>0.21</v>
      </c>
      <c r="D12" s="7">
        <v>0.34</v>
      </c>
      <c r="E12" s="4" t="s">
        <v>14</v>
      </c>
      <c r="F12" s="11">
        <f t="shared" ref="F12" si="22">IFERROR(B12*100,"-")</f>
        <v>13</v>
      </c>
      <c r="G12" s="11">
        <f t="shared" ref="G12" si="23">IFERROR(C12*100,"-")</f>
        <v>21</v>
      </c>
      <c r="H12" s="11">
        <f t="shared" ref="H12" si="24">IFERROR(D12*100,"-")</f>
        <v>34</v>
      </c>
      <c r="I12" s="11">
        <f t="shared" ref="I12" si="25">IFERROR(E12*1000,"-")</f>
        <v>1100</v>
      </c>
    </row>
    <row r="13" spans="1:9" ht="13.2" customHeight="1" x14ac:dyDescent="0.3">
      <c r="A13" s="2" t="s">
        <v>174</v>
      </c>
      <c r="B13" s="7">
        <v>0.13</v>
      </c>
      <c r="C13" s="7">
        <v>0.21</v>
      </c>
      <c r="D13" s="7">
        <v>0.34</v>
      </c>
      <c r="E13" s="4" t="s">
        <v>14</v>
      </c>
      <c r="F13" s="11">
        <f t="shared" ref="F13:F15" si="26">IFERROR(B13*100,"-")</f>
        <v>13</v>
      </c>
      <c r="G13" s="11">
        <f t="shared" ref="G13:G15" si="27">IFERROR(C13*100,"-")</f>
        <v>21</v>
      </c>
      <c r="H13" s="11">
        <f t="shared" ref="H13:H15" si="28">IFERROR(D13*100,"-")</f>
        <v>34</v>
      </c>
      <c r="I13" s="11">
        <f t="shared" ref="I13:I15" si="29">IFERROR(E13*1000,"-")</f>
        <v>1100</v>
      </c>
    </row>
    <row r="14" spans="1:9" ht="13.2" customHeight="1" x14ac:dyDescent="0.3">
      <c r="A14" s="2" t="s">
        <v>216</v>
      </c>
      <c r="B14" s="7">
        <v>0.13</v>
      </c>
      <c r="C14" s="7">
        <v>0.21</v>
      </c>
      <c r="D14" s="7">
        <v>0.34</v>
      </c>
      <c r="E14" s="4" t="s">
        <v>14</v>
      </c>
      <c r="F14" s="11">
        <f t="shared" ref="F14" si="30">IFERROR(B14*100,"-")</f>
        <v>13</v>
      </c>
      <c r="G14" s="11">
        <f t="shared" ref="G14" si="31">IFERROR(C14*100,"-")</f>
        <v>21</v>
      </c>
      <c r="H14" s="11">
        <f t="shared" ref="H14" si="32">IFERROR(D14*100,"-")</f>
        <v>34</v>
      </c>
      <c r="I14" s="11">
        <f t="shared" ref="I14" si="33">IFERROR(E14*1000,"-")</f>
        <v>1100</v>
      </c>
    </row>
    <row r="15" spans="1:9" ht="13.2" customHeight="1" x14ac:dyDescent="0.3">
      <c r="A15" s="2" t="s">
        <v>193</v>
      </c>
      <c r="B15" s="7">
        <v>0.12</v>
      </c>
      <c r="C15" s="7">
        <v>0.21</v>
      </c>
      <c r="D15" s="7">
        <v>0.35</v>
      </c>
      <c r="E15" s="4" t="s">
        <v>16</v>
      </c>
      <c r="F15" s="11">
        <f t="shared" si="26"/>
        <v>12</v>
      </c>
      <c r="G15" s="11">
        <f t="shared" si="27"/>
        <v>21</v>
      </c>
      <c r="H15" s="11">
        <f t="shared" si="28"/>
        <v>35</v>
      </c>
      <c r="I15" s="11">
        <f t="shared" si="29"/>
        <v>900</v>
      </c>
    </row>
    <row r="16" spans="1:9" x14ac:dyDescent="0.3">
      <c r="A16" s="2" t="s">
        <v>217</v>
      </c>
      <c r="B16" s="7">
        <v>0.12</v>
      </c>
      <c r="C16" s="7">
        <v>0.21</v>
      </c>
      <c r="D16" s="7">
        <v>0.35</v>
      </c>
      <c r="E16" s="4" t="s">
        <v>16</v>
      </c>
      <c r="F16" s="11">
        <f t="shared" si="13"/>
        <v>12</v>
      </c>
      <c r="G16" s="11">
        <f t="shared" si="6"/>
        <v>21</v>
      </c>
      <c r="H16" s="11">
        <f t="shared" si="7"/>
        <v>35</v>
      </c>
      <c r="I16" s="11">
        <f t="shared" si="8"/>
        <v>900</v>
      </c>
    </row>
    <row r="17" spans="1:9" x14ac:dyDescent="0.3">
      <c r="A17" s="2" t="s">
        <v>17</v>
      </c>
      <c r="B17" s="7">
        <v>0.11</v>
      </c>
      <c r="C17" s="7">
        <v>0.21</v>
      </c>
      <c r="D17" s="7">
        <v>0.3</v>
      </c>
      <c r="E17" s="4" t="s">
        <v>16</v>
      </c>
      <c r="F17" s="11">
        <f t="shared" si="13"/>
        <v>11</v>
      </c>
      <c r="G17" s="11">
        <f t="shared" si="6"/>
        <v>21</v>
      </c>
      <c r="H17" s="11">
        <f t="shared" si="7"/>
        <v>30</v>
      </c>
      <c r="I17" s="11">
        <f t="shared" si="8"/>
        <v>900</v>
      </c>
    </row>
    <row r="18" spans="1:9" x14ac:dyDescent="0.3">
      <c r="A18" s="2" t="s">
        <v>194</v>
      </c>
      <c r="B18" s="7">
        <v>0.12</v>
      </c>
      <c r="C18" s="7">
        <v>0.19</v>
      </c>
      <c r="D18" s="7">
        <v>0.3</v>
      </c>
      <c r="E18" s="4" t="s">
        <v>19</v>
      </c>
      <c r="F18" s="11">
        <f t="shared" ref="F18" si="34">IFERROR(B18*100,"-")</f>
        <v>12</v>
      </c>
      <c r="G18" s="11">
        <f t="shared" ref="G18" si="35">IFERROR(C18*100,"-")</f>
        <v>19</v>
      </c>
      <c r="H18" s="11">
        <f t="shared" ref="H18" si="36">IFERROR(D18*100,"-")</f>
        <v>30</v>
      </c>
      <c r="I18" s="11">
        <f t="shared" ref="I18" si="37">IFERROR(E18*1000,"-")</f>
        <v>684</v>
      </c>
    </row>
    <row r="19" spans="1:9" x14ac:dyDescent="0.3">
      <c r="A19" s="2" t="s">
        <v>18</v>
      </c>
      <c r="B19" s="7">
        <v>0.12</v>
      </c>
      <c r="C19" s="7">
        <v>0.19</v>
      </c>
      <c r="D19" s="7">
        <v>0.3</v>
      </c>
      <c r="E19" s="4" t="s">
        <v>19</v>
      </c>
      <c r="F19" s="11">
        <f t="shared" si="13"/>
        <v>12</v>
      </c>
      <c r="G19" s="11">
        <f t="shared" si="6"/>
        <v>19</v>
      </c>
      <c r="H19" s="11">
        <f t="shared" si="7"/>
        <v>30</v>
      </c>
      <c r="I19" s="11">
        <f t="shared" si="8"/>
        <v>684</v>
      </c>
    </row>
    <row r="20" spans="1:9" x14ac:dyDescent="0.3">
      <c r="A20" s="2" t="s">
        <v>219</v>
      </c>
      <c r="B20" s="7">
        <v>0.12</v>
      </c>
      <c r="C20" s="7">
        <v>0.21</v>
      </c>
      <c r="D20" s="7">
        <v>0.34</v>
      </c>
      <c r="E20" s="4" t="s">
        <v>11</v>
      </c>
      <c r="F20" s="11">
        <f t="shared" si="13"/>
        <v>12</v>
      </c>
      <c r="G20" s="11">
        <f t="shared" si="6"/>
        <v>21</v>
      </c>
      <c r="H20" s="11">
        <f t="shared" si="7"/>
        <v>34</v>
      </c>
      <c r="I20" s="11">
        <f t="shared" si="8"/>
        <v>1000</v>
      </c>
    </row>
    <row r="21" spans="1:9" x14ac:dyDescent="0.3">
      <c r="A21" s="2" t="s">
        <v>114</v>
      </c>
      <c r="B21" s="7">
        <v>0.12</v>
      </c>
      <c r="C21" s="7">
        <v>0.21</v>
      </c>
      <c r="D21" s="7">
        <v>0.34</v>
      </c>
      <c r="E21" s="4" t="s">
        <v>11</v>
      </c>
      <c r="F21" s="11">
        <f t="shared" ref="F21" si="38">IFERROR(B21*100,"-")</f>
        <v>12</v>
      </c>
      <c r="G21" s="11">
        <f t="shared" ref="G21" si="39">IFERROR(C21*100,"-")</f>
        <v>21</v>
      </c>
      <c r="H21" s="11">
        <f t="shared" ref="H21" si="40">IFERROR(D21*100,"-")</f>
        <v>34</v>
      </c>
      <c r="I21" s="11">
        <f t="shared" ref="I21" si="41">IFERROR(E21*1000,"-")</f>
        <v>1000</v>
      </c>
    </row>
    <row r="22" spans="1:9" x14ac:dyDescent="0.3">
      <c r="A22" s="2" t="s">
        <v>21</v>
      </c>
      <c r="B22" s="7">
        <v>0.1</v>
      </c>
      <c r="C22" s="7">
        <v>0.16</v>
      </c>
      <c r="D22" s="7">
        <v>0.3</v>
      </c>
      <c r="E22" s="4" t="s">
        <v>22</v>
      </c>
      <c r="F22" s="11">
        <f t="shared" si="13"/>
        <v>10</v>
      </c>
      <c r="G22" s="11">
        <f t="shared" si="6"/>
        <v>16</v>
      </c>
      <c r="H22" s="11">
        <f t="shared" si="7"/>
        <v>30</v>
      </c>
      <c r="I22" s="11">
        <f t="shared" si="8"/>
        <v>600</v>
      </c>
    </row>
    <row r="23" spans="1:9" x14ac:dyDescent="0.3">
      <c r="A23" s="2" t="s">
        <v>23</v>
      </c>
      <c r="B23" s="7">
        <v>0.1</v>
      </c>
      <c r="C23" s="7">
        <v>0.17</v>
      </c>
      <c r="D23" s="7">
        <v>0.3</v>
      </c>
      <c r="E23" s="4" t="s">
        <v>22</v>
      </c>
      <c r="F23" s="11">
        <f t="shared" si="13"/>
        <v>10</v>
      </c>
      <c r="G23" s="11">
        <f t="shared" si="6"/>
        <v>17</v>
      </c>
      <c r="H23" s="11">
        <f t="shared" si="7"/>
        <v>30</v>
      </c>
      <c r="I23" s="11">
        <f t="shared" si="8"/>
        <v>600</v>
      </c>
    </row>
    <row r="24" spans="1:9" x14ac:dyDescent="0.3">
      <c r="A24" s="2" t="s">
        <v>24</v>
      </c>
      <c r="B24" s="7">
        <v>0.11</v>
      </c>
      <c r="C24" s="7">
        <v>0.21</v>
      </c>
      <c r="D24" s="7">
        <v>0.36</v>
      </c>
      <c r="E24" s="4" t="s">
        <v>25</v>
      </c>
      <c r="F24" s="11">
        <f t="shared" si="13"/>
        <v>11</v>
      </c>
      <c r="G24" s="11">
        <f t="shared" si="6"/>
        <v>21</v>
      </c>
      <c r="H24" s="11">
        <f t="shared" si="7"/>
        <v>36</v>
      </c>
      <c r="I24" s="11">
        <f t="shared" ref="I24:I168" si="42">IFERROR(E24*1000,"-")</f>
        <v>875</v>
      </c>
    </row>
    <row r="25" spans="1:9" x14ac:dyDescent="0.3">
      <c r="A25" s="2" t="s">
        <v>26</v>
      </c>
      <c r="B25" s="13">
        <v>0.01</v>
      </c>
      <c r="C25" s="13">
        <v>0.27</v>
      </c>
      <c r="D25" s="13">
        <v>0.28999999999999998</v>
      </c>
      <c r="E25" s="14" t="s">
        <v>27</v>
      </c>
      <c r="F25" s="11">
        <f t="shared" si="13"/>
        <v>1</v>
      </c>
      <c r="G25" s="11">
        <f t="shared" si="6"/>
        <v>27</v>
      </c>
      <c r="H25" s="11">
        <f t="shared" si="7"/>
        <v>28.999999999999996</v>
      </c>
      <c r="I25" s="11">
        <f t="shared" si="42"/>
        <v>200</v>
      </c>
    </row>
    <row r="26" spans="1:9" x14ac:dyDescent="0.3">
      <c r="A26" s="2" t="s">
        <v>211</v>
      </c>
      <c r="B26" s="13">
        <v>0.01</v>
      </c>
      <c r="C26" s="13">
        <v>0.27</v>
      </c>
      <c r="D26" s="13">
        <v>0.28999999999999998</v>
      </c>
      <c r="E26" s="14" t="s">
        <v>27</v>
      </c>
      <c r="F26" s="11">
        <f t="shared" ref="F26" si="43">IFERROR(B26*100,"-")</f>
        <v>1</v>
      </c>
      <c r="G26" s="11">
        <f t="shared" ref="G26" si="44">IFERROR(C26*100,"-")</f>
        <v>27</v>
      </c>
      <c r="H26" s="11">
        <f t="shared" ref="H26" si="45">IFERROR(D26*100,"-")</f>
        <v>28.999999999999996</v>
      </c>
      <c r="I26" s="11">
        <f t="shared" ref="I26" si="46">IFERROR(E26*1000,"-")</f>
        <v>200</v>
      </c>
    </row>
    <row r="27" spans="1:9" x14ac:dyDescent="0.3">
      <c r="A27" s="2" t="s">
        <v>199</v>
      </c>
      <c r="B27" s="7">
        <v>0.03</v>
      </c>
      <c r="C27" s="7">
        <v>0.28000000000000003</v>
      </c>
      <c r="D27" s="7">
        <v>0.37</v>
      </c>
      <c r="E27" s="4" t="s">
        <v>29</v>
      </c>
      <c r="F27" s="24">
        <f t="shared" ref="F27" si="47">IFERROR(B27*100,"-")</f>
        <v>3</v>
      </c>
      <c r="G27" s="24">
        <f t="shared" ref="G27" si="48">IFERROR(C27*100,"-")</f>
        <v>28.000000000000004</v>
      </c>
      <c r="H27" s="24">
        <f t="shared" ref="H27" si="49">IFERROR(D27*100,"-")</f>
        <v>37</v>
      </c>
      <c r="I27" s="24">
        <f t="shared" ref="I27" si="50">IFERROR(E27*1000,"-")</f>
        <v>700</v>
      </c>
    </row>
    <row r="28" spans="1:9" ht="15.6" customHeight="1" x14ac:dyDescent="0.3">
      <c r="A28" s="2" t="s">
        <v>197</v>
      </c>
      <c r="B28" s="7">
        <v>0.03</v>
      </c>
      <c r="C28" s="7">
        <v>0.28000000000000003</v>
      </c>
      <c r="D28" s="7">
        <v>0.37</v>
      </c>
      <c r="E28" s="4" t="s">
        <v>29</v>
      </c>
      <c r="F28" s="24">
        <f t="shared" ref="F28:F30" si="51">IFERROR(B28*100,"-")</f>
        <v>3</v>
      </c>
      <c r="G28" s="24">
        <f t="shared" ref="G28:G30" si="52">IFERROR(C28*100,"-")</f>
        <v>28.000000000000004</v>
      </c>
      <c r="H28" s="24">
        <f t="shared" ref="H28:H30" si="53">IFERROR(D28*100,"-")</f>
        <v>37</v>
      </c>
      <c r="I28" s="24">
        <f t="shared" ref="I28:I30" si="54">IFERROR(E28*1000,"-")</f>
        <v>700</v>
      </c>
    </row>
    <row r="29" spans="1:9" ht="15.6" customHeight="1" x14ac:dyDescent="0.3">
      <c r="A29" s="2" t="s">
        <v>243</v>
      </c>
      <c r="B29" s="7">
        <v>0.03</v>
      </c>
      <c r="C29" s="7">
        <v>0.28000000000000003</v>
      </c>
      <c r="D29" s="7">
        <v>0.37</v>
      </c>
      <c r="E29" s="4" t="s">
        <v>29</v>
      </c>
      <c r="F29" s="24">
        <f t="shared" ref="F29" si="55">IFERROR(B29*100,"-")</f>
        <v>3</v>
      </c>
      <c r="G29" s="24">
        <f t="shared" ref="G29" si="56">IFERROR(C29*100,"-")</f>
        <v>28.000000000000004</v>
      </c>
      <c r="H29" s="24">
        <f t="shared" ref="H29" si="57">IFERROR(D29*100,"-")</f>
        <v>37</v>
      </c>
      <c r="I29" s="24">
        <f t="shared" ref="I29" si="58">IFERROR(E29*1000,"-")</f>
        <v>700</v>
      </c>
    </row>
    <row r="30" spans="1:9" ht="15.6" customHeight="1" x14ac:dyDescent="0.3">
      <c r="A30" s="2" t="s">
        <v>28</v>
      </c>
      <c r="B30" s="7">
        <v>0.03</v>
      </c>
      <c r="C30" s="7">
        <v>0.28000000000000003</v>
      </c>
      <c r="D30" s="7">
        <v>0.37</v>
      </c>
      <c r="E30" s="4" t="s">
        <v>29</v>
      </c>
      <c r="F30" s="24">
        <f t="shared" si="51"/>
        <v>3</v>
      </c>
      <c r="G30" s="24">
        <f t="shared" si="52"/>
        <v>28.000000000000004</v>
      </c>
      <c r="H30" s="24">
        <f t="shared" si="53"/>
        <v>37</v>
      </c>
      <c r="I30" s="24">
        <f t="shared" si="54"/>
        <v>700</v>
      </c>
    </row>
    <row r="31" spans="1:9" ht="13.2" customHeight="1" x14ac:dyDescent="0.3">
      <c r="A31" s="2" t="s">
        <v>232</v>
      </c>
      <c r="B31" s="7">
        <v>0.03</v>
      </c>
      <c r="C31" s="7">
        <v>0.28000000000000003</v>
      </c>
      <c r="D31" s="7">
        <v>0.37</v>
      </c>
      <c r="E31" s="4" t="s">
        <v>29</v>
      </c>
      <c r="F31" s="24">
        <f t="shared" si="13"/>
        <v>3</v>
      </c>
      <c r="G31" s="24">
        <f t="shared" si="6"/>
        <v>28.000000000000004</v>
      </c>
      <c r="H31" s="24">
        <f t="shared" si="7"/>
        <v>37</v>
      </c>
      <c r="I31" s="24">
        <f t="shared" si="42"/>
        <v>700</v>
      </c>
    </row>
    <row r="32" spans="1:9" x14ac:dyDescent="0.3">
      <c r="A32" s="2" t="s">
        <v>154</v>
      </c>
      <c r="B32" s="7">
        <v>0.03</v>
      </c>
      <c r="C32" s="7">
        <v>0.28000000000000003</v>
      </c>
      <c r="D32" s="7">
        <v>0.37</v>
      </c>
      <c r="E32" s="4" t="s">
        <v>29</v>
      </c>
      <c r="F32" s="24">
        <f t="shared" ref="F32:F34" si="59">IFERROR(B32*100,"-")</f>
        <v>3</v>
      </c>
      <c r="G32" s="24">
        <f t="shared" ref="G32:G34" si="60">IFERROR(C32*100,"-")</f>
        <v>28.000000000000004</v>
      </c>
      <c r="H32" s="24">
        <f t="shared" ref="H32:H34" si="61">IFERROR(D32*100,"-")</f>
        <v>37</v>
      </c>
      <c r="I32" s="24">
        <f t="shared" ref="I32:I34" si="62">IFERROR(E32*1000,"-")</f>
        <v>700</v>
      </c>
    </row>
    <row r="33" spans="1:9" x14ac:dyDescent="0.3">
      <c r="A33" s="2" t="s">
        <v>249</v>
      </c>
      <c r="B33" s="7">
        <v>0.04</v>
      </c>
      <c r="C33" s="7">
        <v>0.3</v>
      </c>
      <c r="D33" s="7">
        <v>0.35</v>
      </c>
      <c r="E33" s="4" t="s">
        <v>30</v>
      </c>
      <c r="F33" s="11">
        <f t="shared" si="59"/>
        <v>4</v>
      </c>
      <c r="G33" s="11">
        <f t="shared" si="60"/>
        <v>30</v>
      </c>
      <c r="H33" s="11">
        <f t="shared" si="61"/>
        <v>35</v>
      </c>
      <c r="I33" s="11">
        <f t="shared" si="62"/>
        <v>500</v>
      </c>
    </row>
    <row r="34" spans="1:9" x14ac:dyDescent="0.3">
      <c r="A34" s="2" t="s">
        <v>247</v>
      </c>
      <c r="B34" s="7">
        <v>0.04</v>
      </c>
      <c r="C34" s="7">
        <v>0.3</v>
      </c>
      <c r="D34" s="7">
        <v>0.35</v>
      </c>
      <c r="E34" s="4" t="s">
        <v>30</v>
      </c>
      <c r="F34" s="11">
        <f t="shared" si="59"/>
        <v>4</v>
      </c>
      <c r="G34" s="11">
        <f t="shared" si="60"/>
        <v>30</v>
      </c>
      <c r="H34" s="11">
        <f t="shared" si="61"/>
        <v>35</v>
      </c>
      <c r="I34" s="11">
        <f t="shared" si="62"/>
        <v>500</v>
      </c>
    </row>
    <row r="35" spans="1:9" x14ac:dyDescent="0.3">
      <c r="A35" s="2" t="s">
        <v>255</v>
      </c>
      <c r="B35" s="7">
        <v>0.04</v>
      </c>
      <c r="C35" s="7">
        <v>0.3</v>
      </c>
      <c r="D35" s="7">
        <v>0.35</v>
      </c>
      <c r="E35" s="4" t="s">
        <v>30</v>
      </c>
      <c r="F35" s="11">
        <f t="shared" si="13"/>
        <v>4</v>
      </c>
      <c r="G35" s="11">
        <f t="shared" si="6"/>
        <v>30</v>
      </c>
      <c r="H35" s="11">
        <f t="shared" si="7"/>
        <v>35</v>
      </c>
      <c r="I35" s="11">
        <f t="shared" si="42"/>
        <v>500</v>
      </c>
    </row>
    <row r="36" spans="1:9" x14ac:dyDescent="0.3">
      <c r="A36" s="21" t="s">
        <v>127</v>
      </c>
      <c r="B36" s="7">
        <v>0.04</v>
      </c>
      <c r="C36" s="7">
        <v>0.3</v>
      </c>
      <c r="D36" s="7">
        <v>0.35</v>
      </c>
      <c r="E36" s="4" t="s">
        <v>30</v>
      </c>
      <c r="F36" s="24">
        <f t="shared" ref="F36" si="63">IFERROR(B36*100,"-")</f>
        <v>4</v>
      </c>
      <c r="G36" s="24">
        <f t="shared" ref="G36" si="64">IFERROR(C36*100,"-")</f>
        <v>30</v>
      </c>
      <c r="H36" s="24">
        <f t="shared" ref="H36" si="65">IFERROR(D36*100,"-")</f>
        <v>35</v>
      </c>
      <c r="I36" s="24">
        <f t="shared" ref="I36" si="66">IFERROR(E36*1000,"-")</f>
        <v>500</v>
      </c>
    </row>
    <row r="37" spans="1:9" x14ac:dyDescent="0.3">
      <c r="A37" s="2" t="s">
        <v>31</v>
      </c>
      <c r="B37" s="7">
        <v>0.02</v>
      </c>
      <c r="C37" s="7">
        <v>0.41</v>
      </c>
      <c r="D37" s="7">
        <v>0.6</v>
      </c>
      <c r="E37" s="4" t="s">
        <v>32</v>
      </c>
      <c r="F37" s="11">
        <f t="shared" si="13"/>
        <v>2</v>
      </c>
      <c r="G37" s="11">
        <f t="shared" si="6"/>
        <v>41</v>
      </c>
      <c r="H37" s="11">
        <f t="shared" si="7"/>
        <v>60</v>
      </c>
      <c r="I37" s="11">
        <f t="shared" si="42"/>
        <v>760</v>
      </c>
    </row>
    <row r="38" spans="1:9" x14ac:dyDescent="0.3">
      <c r="A38" s="2" t="s">
        <v>33</v>
      </c>
      <c r="B38" s="7">
        <v>0.01</v>
      </c>
      <c r="C38" s="7">
        <v>0.28999999999999998</v>
      </c>
      <c r="D38" s="7">
        <v>0.35</v>
      </c>
      <c r="E38" s="4" t="s">
        <v>27</v>
      </c>
      <c r="F38" s="11">
        <f t="shared" si="13"/>
        <v>1</v>
      </c>
      <c r="G38" s="11">
        <f t="shared" si="6"/>
        <v>28.999999999999996</v>
      </c>
      <c r="H38" s="11">
        <f t="shared" si="7"/>
        <v>35</v>
      </c>
      <c r="I38" s="11">
        <f t="shared" si="42"/>
        <v>200</v>
      </c>
    </row>
    <row r="39" spans="1:9" x14ac:dyDescent="0.3">
      <c r="A39" s="2" t="s">
        <v>248</v>
      </c>
      <c r="B39" s="7">
        <v>0.01</v>
      </c>
      <c r="C39" s="7">
        <v>0.28999999999999998</v>
      </c>
      <c r="D39" s="7">
        <v>0.38</v>
      </c>
      <c r="E39" s="4" t="s">
        <v>35</v>
      </c>
      <c r="F39" s="11">
        <f t="shared" si="13"/>
        <v>1</v>
      </c>
      <c r="G39" s="11">
        <f t="shared" si="6"/>
        <v>28.999999999999996</v>
      </c>
      <c r="H39" s="11">
        <f t="shared" si="7"/>
        <v>38</v>
      </c>
      <c r="I39" s="11">
        <f t="shared" si="42"/>
        <v>300</v>
      </c>
    </row>
    <row r="40" spans="1:9" x14ac:dyDescent="0.3">
      <c r="A40" s="2" t="s">
        <v>34</v>
      </c>
      <c r="B40" s="7">
        <v>0.01</v>
      </c>
      <c r="C40" s="7">
        <v>0.28999999999999998</v>
      </c>
      <c r="D40" s="7">
        <v>0.38</v>
      </c>
      <c r="E40" s="4" t="s">
        <v>35</v>
      </c>
      <c r="F40" s="11">
        <f t="shared" ref="F40:F41" si="67">IFERROR(B40*100,"-")</f>
        <v>1</v>
      </c>
      <c r="G40" s="11">
        <f t="shared" ref="G40:G41" si="68">IFERROR(C40*100,"-")</f>
        <v>28.999999999999996</v>
      </c>
      <c r="H40" s="11">
        <f t="shared" ref="H40:H41" si="69">IFERROR(D40*100,"-")</f>
        <v>38</v>
      </c>
      <c r="I40" s="11">
        <f t="shared" ref="I40:I41" si="70">IFERROR(E40*1000,"-")</f>
        <v>300</v>
      </c>
    </row>
    <row r="41" spans="1:9" x14ac:dyDescent="0.3">
      <c r="A41" s="2" t="s">
        <v>195</v>
      </c>
      <c r="B41" s="7">
        <v>0.01</v>
      </c>
      <c r="C41" s="7">
        <v>0.28999999999999998</v>
      </c>
      <c r="D41" s="7">
        <v>0.38</v>
      </c>
      <c r="E41" s="4" t="s">
        <v>35</v>
      </c>
      <c r="F41" s="11">
        <f t="shared" si="67"/>
        <v>1</v>
      </c>
      <c r="G41" s="11">
        <f t="shared" si="68"/>
        <v>28.999999999999996</v>
      </c>
      <c r="H41" s="11">
        <f t="shared" si="69"/>
        <v>38</v>
      </c>
      <c r="I41" s="11">
        <f t="shared" si="70"/>
        <v>300</v>
      </c>
    </row>
    <row r="42" spans="1:9" x14ac:dyDescent="0.3">
      <c r="A42" s="2" t="s">
        <v>128</v>
      </c>
      <c r="B42" s="7">
        <v>0.01</v>
      </c>
      <c r="C42" s="7">
        <v>0.28999999999999998</v>
      </c>
      <c r="D42" s="7">
        <v>0.38</v>
      </c>
      <c r="E42" s="4" t="s">
        <v>35</v>
      </c>
      <c r="F42" s="11">
        <f t="shared" ref="F42:F44" si="71">IFERROR(B42*100,"-")</f>
        <v>1</v>
      </c>
      <c r="G42" s="11">
        <f t="shared" ref="G42:G44" si="72">IFERROR(C42*100,"-")</f>
        <v>28.999999999999996</v>
      </c>
      <c r="H42" s="11">
        <f t="shared" ref="H42:H44" si="73">IFERROR(D42*100,"-")</f>
        <v>38</v>
      </c>
      <c r="I42" s="11">
        <f t="shared" ref="I42:I44" si="74">IFERROR(E42*1000,"-")</f>
        <v>300</v>
      </c>
    </row>
    <row r="43" spans="1:9" x14ac:dyDescent="0.3">
      <c r="A43" s="2" t="s">
        <v>159</v>
      </c>
      <c r="B43" s="7">
        <v>0.01</v>
      </c>
      <c r="C43" s="7">
        <v>0.27</v>
      </c>
      <c r="D43" s="7">
        <v>0.28999999999999998</v>
      </c>
      <c r="E43" s="4" t="s">
        <v>27</v>
      </c>
      <c r="F43" s="11">
        <f t="shared" si="71"/>
        <v>1</v>
      </c>
      <c r="G43" s="11">
        <f t="shared" si="72"/>
        <v>27</v>
      </c>
      <c r="H43" s="11">
        <f t="shared" si="73"/>
        <v>28.999999999999996</v>
      </c>
      <c r="I43" s="11">
        <f t="shared" si="74"/>
        <v>200</v>
      </c>
    </row>
    <row r="44" spans="1:9" x14ac:dyDescent="0.3">
      <c r="A44" s="2" t="s">
        <v>214</v>
      </c>
      <c r="B44" s="7">
        <v>0.01</v>
      </c>
      <c r="C44" s="7">
        <v>0.27</v>
      </c>
      <c r="D44" s="7">
        <v>0.28999999999999998</v>
      </c>
      <c r="E44" s="4" t="s">
        <v>27</v>
      </c>
      <c r="F44" s="11">
        <f t="shared" si="71"/>
        <v>1</v>
      </c>
      <c r="G44" s="11">
        <f t="shared" si="72"/>
        <v>27</v>
      </c>
      <c r="H44" s="11">
        <f t="shared" si="73"/>
        <v>28.999999999999996</v>
      </c>
      <c r="I44" s="11">
        <f t="shared" si="74"/>
        <v>200</v>
      </c>
    </row>
    <row r="45" spans="1:9" x14ac:dyDescent="0.3">
      <c r="A45" s="2" t="s">
        <v>36</v>
      </c>
      <c r="B45" s="7">
        <v>0.01</v>
      </c>
      <c r="C45" s="7">
        <v>0.27</v>
      </c>
      <c r="D45" s="7">
        <v>0.28999999999999998</v>
      </c>
      <c r="E45" s="4" t="s">
        <v>27</v>
      </c>
      <c r="F45" s="11">
        <f t="shared" si="13"/>
        <v>1</v>
      </c>
      <c r="G45" s="11">
        <f t="shared" si="6"/>
        <v>27</v>
      </c>
      <c r="H45" s="11">
        <f t="shared" si="7"/>
        <v>28.999999999999996</v>
      </c>
      <c r="I45" s="11">
        <f t="shared" si="42"/>
        <v>200</v>
      </c>
    </row>
    <row r="46" spans="1:9" x14ac:dyDescent="0.3">
      <c r="A46" s="2" t="s">
        <v>237</v>
      </c>
      <c r="B46" s="7">
        <v>0.01</v>
      </c>
      <c r="C46" s="7">
        <v>0.27</v>
      </c>
      <c r="D46" s="7">
        <v>0.28999999999999998</v>
      </c>
      <c r="E46" s="4" t="s">
        <v>27</v>
      </c>
      <c r="F46" s="11">
        <f t="shared" si="13"/>
        <v>1</v>
      </c>
      <c r="G46" s="11">
        <f t="shared" si="6"/>
        <v>27</v>
      </c>
      <c r="H46" s="11">
        <f t="shared" si="7"/>
        <v>28.999999999999996</v>
      </c>
      <c r="I46" s="11">
        <f t="shared" si="42"/>
        <v>200</v>
      </c>
    </row>
    <row r="47" spans="1:9" x14ac:dyDescent="0.3">
      <c r="A47" s="2" t="s">
        <v>142</v>
      </c>
      <c r="B47" s="7">
        <v>0.01</v>
      </c>
      <c r="C47" s="7">
        <v>0.27</v>
      </c>
      <c r="D47" s="7">
        <v>0.28999999999999998</v>
      </c>
      <c r="E47" s="4" t="s">
        <v>27</v>
      </c>
      <c r="F47" s="11">
        <f t="shared" ref="F47" si="75">IFERROR(B47*100,"-")</f>
        <v>1</v>
      </c>
      <c r="G47" s="11">
        <f t="shared" ref="G47" si="76">IFERROR(C47*100,"-")</f>
        <v>27</v>
      </c>
      <c r="H47" s="11">
        <f t="shared" ref="H47" si="77">IFERROR(D47*100,"-")</f>
        <v>28.999999999999996</v>
      </c>
      <c r="I47" s="11">
        <f t="shared" ref="I47" si="78">IFERROR(E47*1000,"-")</f>
        <v>200</v>
      </c>
    </row>
    <row r="48" spans="1:9" x14ac:dyDescent="0.3">
      <c r="A48" s="2" t="s">
        <v>124</v>
      </c>
      <c r="B48" s="7">
        <v>0.01</v>
      </c>
      <c r="C48" s="7">
        <v>0.27</v>
      </c>
      <c r="D48" s="7">
        <v>0.28999999999999998</v>
      </c>
      <c r="E48" s="4" t="s">
        <v>27</v>
      </c>
      <c r="F48" s="11">
        <f t="shared" ref="F48" si="79">IFERROR(B48*100,"-")</f>
        <v>1</v>
      </c>
      <c r="G48" s="11">
        <f t="shared" ref="G48" si="80">IFERROR(C48*100,"-")</f>
        <v>27</v>
      </c>
      <c r="H48" s="11">
        <f t="shared" ref="H48" si="81">IFERROR(D48*100,"-")</f>
        <v>28.999999999999996</v>
      </c>
      <c r="I48" s="11">
        <f t="shared" ref="I48" si="82">IFERROR(E48*1000,"-")</f>
        <v>200</v>
      </c>
    </row>
    <row r="49" spans="1:9" x14ac:dyDescent="0.3">
      <c r="A49" s="2" t="s">
        <v>120</v>
      </c>
      <c r="B49" s="7">
        <v>0.01</v>
      </c>
      <c r="C49" s="7">
        <v>0.27</v>
      </c>
      <c r="D49" s="7">
        <v>0.28999999999999998</v>
      </c>
      <c r="E49" s="4" t="s">
        <v>27</v>
      </c>
      <c r="F49" s="11">
        <f t="shared" ref="F49" si="83">IFERROR(B49*100,"-")</f>
        <v>1</v>
      </c>
      <c r="G49" s="11">
        <f t="shared" ref="G49" si="84">IFERROR(C49*100,"-")</f>
        <v>27</v>
      </c>
      <c r="H49" s="11">
        <f t="shared" ref="H49" si="85">IFERROR(D49*100,"-")</f>
        <v>28.999999999999996</v>
      </c>
      <c r="I49" s="11">
        <f t="shared" ref="I49" si="86">IFERROR(E49*1000,"-")</f>
        <v>200</v>
      </c>
    </row>
    <row r="50" spans="1:9" x14ac:dyDescent="0.3">
      <c r="A50" s="2" t="s">
        <v>121</v>
      </c>
      <c r="B50" s="7">
        <v>0.01</v>
      </c>
      <c r="C50" s="7">
        <v>0.27</v>
      </c>
      <c r="D50" s="7">
        <v>0.28999999999999998</v>
      </c>
      <c r="E50" s="4" t="s">
        <v>27</v>
      </c>
      <c r="F50" s="11">
        <f t="shared" ref="F50:F56" si="87">IFERROR(B50*100,"-")</f>
        <v>1</v>
      </c>
      <c r="G50" s="11">
        <f t="shared" ref="G50:G56" si="88">IFERROR(C50*100,"-")</f>
        <v>27</v>
      </c>
      <c r="H50" s="11">
        <f t="shared" ref="H50:H56" si="89">IFERROR(D50*100,"-")</f>
        <v>28.999999999999996</v>
      </c>
      <c r="I50" s="11">
        <f t="shared" ref="I50:I56" si="90">IFERROR(E50*1000,"-")</f>
        <v>200</v>
      </c>
    </row>
    <row r="51" spans="1:9" x14ac:dyDescent="0.3">
      <c r="A51" s="2" t="s">
        <v>148</v>
      </c>
      <c r="B51" s="7">
        <v>0.01</v>
      </c>
      <c r="C51" s="7">
        <v>0.27</v>
      </c>
      <c r="D51" s="7">
        <v>0.28999999999999998</v>
      </c>
      <c r="E51" s="4" t="s">
        <v>27</v>
      </c>
      <c r="F51" s="11">
        <f t="shared" ref="F51" si="91">IFERROR(B51*100,"-")</f>
        <v>1</v>
      </c>
      <c r="G51" s="11">
        <f t="shared" ref="G51" si="92">IFERROR(C51*100,"-")</f>
        <v>27</v>
      </c>
      <c r="H51" s="11">
        <f t="shared" ref="H51" si="93">IFERROR(D51*100,"-")</f>
        <v>28.999999999999996</v>
      </c>
      <c r="I51" s="11">
        <f t="shared" ref="I51" si="94">IFERROR(E51*1000,"-")</f>
        <v>200</v>
      </c>
    </row>
    <row r="52" spans="1:9" x14ac:dyDescent="0.3">
      <c r="A52" s="2" t="s">
        <v>122</v>
      </c>
      <c r="B52" s="7">
        <v>0.01</v>
      </c>
      <c r="C52" s="7">
        <v>0.27</v>
      </c>
      <c r="D52" s="7">
        <v>0.28999999999999998</v>
      </c>
      <c r="E52" s="4" t="s">
        <v>27</v>
      </c>
      <c r="F52" s="11">
        <f t="shared" si="87"/>
        <v>1</v>
      </c>
      <c r="G52" s="11">
        <f t="shared" si="88"/>
        <v>27</v>
      </c>
      <c r="H52" s="11">
        <f t="shared" si="89"/>
        <v>28.999999999999996</v>
      </c>
      <c r="I52" s="11">
        <f t="shared" si="90"/>
        <v>200</v>
      </c>
    </row>
    <row r="53" spans="1:9" x14ac:dyDescent="0.3">
      <c r="A53" s="2" t="s">
        <v>212</v>
      </c>
      <c r="B53" s="7">
        <v>0.01</v>
      </c>
      <c r="C53" s="7">
        <v>0.28000000000000003</v>
      </c>
      <c r="D53" s="7">
        <v>0.33</v>
      </c>
      <c r="E53" s="4" t="s">
        <v>29</v>
      </c>
      <c r="F53" s="11">
        <f t="shared" si="87"/>
        <v>1</v>
      </c>
      <c r="G53" s="11">
        <f t="shared" si="88"/>
        <v>28.000000000000004</v>
      </c>
      <c r="H53" s="11">
        <f t="shared" si="89"/>
        <v>33</v>
      </c>
      <c r="I53" s="11">
        <f t="shared" si="90"/>
        <v>700</v>
      </c>
    </row>
    <row r="54" spans="1:9" x14ac:dyDescent="0.3">
      <c r="A54" s="2" t="s">
        <v>222</v>
      </c>
      <c r="B54" s="7">
        <v>0.01</v>
      </c>
      <c r="C54" s="7">
        <v>0.28000000000000003</v>
      </c>
      <c r="D54" s="7">
        <v>0.33</v>
      </c>
      <c r="E54" s="4" t="s">
        <v>29</v>
      </c>
      <c r="F54" s="11">
        <f t="shared" ref="F54:F55" si="95">IFERROR(B54*100,"-")</f>
        <v>1</v>
      </c>
      <c r="G54" s="11">
        <f t="shared" ref="G54:G55" si="96">IFERROR(C54*100,"-")</f>
        <v>28.000000000000004</v>
      </c>
      <c r="H54" s="11">
        <f t="shared" ref="H54:H55" si="97">IFERROR(D54*100,"-")</f>
        <v>33</v>
      </c>
      <c r="I54" s="11">
        <f t="shared" ref="I54:I55" si="98">IFERROR(E54*1000,"-")</f>
        <v>700</v>
      </c>
    </row>
    <row r="55" spans="1:9" x14ac:dyDescent="0.3">
      <c r="A55" s="2" t="s">
        <v>37</v>
      </c>
      <c r="B55" s="7">
        <v>0.01</v>
      </c>
      <c r="C55" s="7">
        <v>0.28000000000000003</v>
      </c>
      <c r="D55" s="7">
        <v>0.33</v>
      </c>
      <c r="E55" s="4" t="s">
        <v>29</v>
      </c>
      <c r="F55" s="11">
        <f t="shared" si="95"/>
        <v>1</v>
      </c>
      <c r="G55" s="11">
        <f t="shared" si="96"/>
        <v>28.000000000000004</v>
      </c>
      <c r="H55" s="11">
        <f t="shared" si="97"/>
        <v>33</v>
      </c>
      <c r="I55" s="11">
        <f t="shared" si="98"/>
        <v>700</v>
      </c>
    </row>
    <row r="56" spans="1:9" x14ac:dyDescent="0.3">
      <c r="A56" s="2" t="s">
        <v>256</v>
      </c>
      <c r="B56" s="7">
        <v>0.01</v>
      </c>
      <c r="C56" s="7">
        <v>0.28000000000000003</v>
      </c>
      <c r="D56" s="7">
        <v>0.33</v>
      </c>
      <c r="E56" s="4" t="s">
        <v>29</v>
      </c>
      <c r="F56" s="11">
        <f t="shared" si="87"/>
        <v>1</v>
      </c>
      <c r="G56" s="11">
        <f t="shared" si="88"/>
        <v>28.000000000000004</v>
      </c>
      <c r="H56" s="11">
        <f t="shared" si="89"/>
        <v>33</v>
      </c>
      <c r="I56" s="11">
        <f t="shared" si="90"/>
        <v>700</v>
      </c>
    </row>
    <row r="57" spans="1:9" x14ac:dyDescent="0.3">
      <c r="A57" s="2" t="s">
        <v>213</v>
      </c>
      <c r="B57" s="7">
        <v>0.01</v>
      </c>
      <c r="C57" s="7">
        <v>0.28000000000000003</v>
      </c>
      <c r="D57" s="7">
        <v>0.33</v>
      </c>
      <c r="E57" s="4" t="s">
        <v>29</v>
      </c>
      <c r="F57" s="11">
        <f t="shared" si="13"/>
        <v>1</v>
      </c>
      <c r="G57" s="11">
        <f t="shared" si="6"/>
        <v>28.000000000000004</v>
      </c>
      <c r="H57" s="11">
        <f t="shared" si="7"/>
        <v>33</v>
      </c>
      <c r="I57" s="11">
        <f t="shared" si="42"/>
        <v>700</v>
      </c>
    </row>
    <row r="58" spans="1:9" x14ac:dyDescent="0.3">
      <c r="A58" s="2" t="s">
        <v>162</v>
      </c>
      <c r="B58" s="7">
        <v>0.01</v>
      </c>
      <c r="C58" s="7">
        <v>0.28000000000000003</v>
      </c>
      <c r="D58" s="7">
        <v>0.33</v>
      </c>
      <c r="E58" s="4" t="s">
        <v>29</v>
      </c>
      <c r="F58" s="11">
        <f t="shared" si="13"/>
        <v>1</v>
      </c>
      <c r="G58" s="11">
        <f t="shared" si="6"/>
        <v>28.000000000000004</v>
      </c>
      <c r="H58" s="11">
        <f t="shared" si="7"/>
        <v>33</v>
      </c>
      <c r="I58" s="11">
        <f t="shared" si="42"/>
        <v>700</v>
      </c>
    </row>
    <row r="59" spans="1:9" x14ac:dyDescent="0.3">
      <c r="A59" s="2" t="s">
        <v>125</v>
      </c>
      <c r="B59" s="7">
        <v>0.01</v>
      </c>
      <c r="C59" s="7">
        <v>0.28000000000000003</v>
      </c>
      <c r="D59" s="7">
        <v>0.33</v>
      </c>
      <c r="E59" s="4" t="s">
        <v>29</v>
      </c>
      <c r="F59" s="11">
        <f t="shared" ref="F59:F61" si="99">IFERROR(B59*100,"-")</f>
        <v>1</v>
      </c>
      <c r="G59" s="11">
        <f t="shared" ref="G59:G61" si="100">IFERROR(C59*100,"-")</f>
        <v>28.000000000000004</v>
      </c>
      <c r="H59" s="11">
        <f t="shared" ref="H59:H61" si="101">IFERROR(D59*100,"-")</f>
        <v>33</v>
      </c>
      <c r="I59" s="11">
        <f t="shared" ref="I59:I61" si="102">IFERROR(E59*1000,"-")</f>
        <v>700</v>
      </c>
    </row>
    <row r="60" spans="1:9" x14ac:dyDescent="0.3">
      <c r="A60" s="2" t="s">
        <v>176</v>
      </c>
      <c r="B60" s="7">
        <v>0.02</v>
      </c>
      <c r="C60" s="7">
        <v>0.26</v>
      </c>
      <c r="D60" s="7">
        <v>0.31</v>
      </c>
      <c r="E60" s="4" t="s">
        <v>9</v>
      </c>
      <c r="F60" s="11">
        <f t="shared" si="99"/>
        <v>2</v>
      </c>
      <c r="G60" s="11">
        <f t="shared" si="100"/>
        <v>26</v>
      </c>
      <c r="H60" s="11">
        <f t="shared" si="101"/>
        <v>31</v>
      </c>
      <c r="I60" s="11">
        <f t="shared" si="102"/>
        <v>400</v>
      </c>
    </row>
    <row r="61" spans="1:9" x14ac:dyDescent="0.3">
      <c r="A61" s="2" t="s">
        <v>245</v>
      </c>
      <c r="B61" s="7">
        <v>0.01</v>
      </c>
      <c r="C61" s="7">
        <v>0.28000000000000003</v>
      </c>
      <c r="D61" s="7">
        <v>0.33</v>
      </c>
      <c r="E61" s="4" t="s">
        <v>35</v>
      </c>
      <c r="F61" s="11">
        <f t="shared" si="99"/>
        <v>1</v>
      </c>
      <c r="G61" s="11">
        <f t="shared" si="100"/>
        <v>28.000000000000004</v>
      </c>
      <c r="H61" s="11">
        <f t="shared" si="101"/>
        <v>33</v>
      </c>
      <c r="I61" s="11">
        <f t="shared" si="102"/>
        <v>300</v>
      </c>
    </row>
    <row r="62" spans="1:9" x14ac:dyDescent="0.3">
      <c r="A62" s="2" t="s">
        <v>235</v>
      </c>
      <c r="B62" s="7">
        <v>0.01</v>
      </c>
      <c r="C62" s="7">
        <v>0.28000000000000003</v>
      </c>
      <c r="D62" s="7">
        <v>0.33</v>
      </c>
      <c r="E62" s="4" t="s">
        <v>35</v>
      </c>
      <c r="F62" s="11">
        <f t="shared" si="13"/>
        <v>1</v>
      </c>
      <c r="G62" s="11">
        <f t="shared" si="6"/>
        <v>28.000000000000004</v>
      </c>
      <c r="H62" s="11">
        <f t="shared" si="7"/>
        <v>33</v>
      </c>
      <c r="I62" s="11">
        <f t="shared" si="42"/>
        <v>300</v>
      </c>
    </row>
    <row r="63" spans="1:9" x14ac:dyDescent="0.3">
      <c r="A63" s="2" t="s">
        <v>123</v>
      </c>
      <c r="B63" s="7">
        <v>0.01</v>
      </c>
      <c r="C63" s="7">
        <v>0.28000000000000003</v>
      </c>
      <c r="D63" s="7">
        <v>0.33</v>
      </c>
      <c r="E63" s="4" t="s">
        <v>35</v>
      </c>
      <c r="F63" s="11">
        <f t="shared" ref="F63:F65" si="103">IFERROR(B63*100,"-")</f>
        <v>1</v>
      </c>
      <c r="G63" s="11">
        <f t="shared" ref="G63:G65" si="104">IFERROR(C63*100,"-")</f>
        <v>28.000000000000004</v>
      </c>
      <c r="H63" s="11">
        <f t="shared" ref="H63:H65" si="105">IFERROR(D63*100,"-")</f>
        <v>33</v>
      </c>
      <c r="I63" s="11">
        <f t="shared" ref="I63:I65" si="106">IFERROR(E63*1000,"-")</f>
        <v>300</v>
      </c>
    </row>
    <row r="64" spans="1:9" x14ac:dyDescent="0.3">
      <c r="A64" s="2" t="s">
        <v>238</v>
      </c>
      <c r="B64" s="7">
        <v>0.01</v>
      </c>
      <c r="C64" s="7">
        <v>0.31</v>
      </c>
      <c r="D64" s="7">
        <v>0.47</v>
      </c>
      <c r="E64" s="4" t="s">
        <v>27</v>
      </c>
      <c r="F64" s="11">
        <f t="shared" si="103"/>
        <v>1</v>
      </c>
      <c r="G64" s="11">
        <f t="shared" si="104"/>
        <v>31</v>
      </c>
      <c r="H64" s="11">
        <f t="shared" si="105"/>
        <v>47</v>
      </c>
      <c r="I64" s="11">
        <f t="shared" si="106"/>
        <v>200</v>
      </c>
    </row>
    <row r="65" spans="1:9" x14ac:dyDescent="0.3">
      <c r="A65" s="2" t="s">
        <v>39</v>
      </c>
      <c r="B65" s="7">
        <v>0.01</v>
      </c>
      <c r="C65" s="7">
        <v>0.31</v>
      </c>
      <c r="D65" s="7">
        <v>0.47</v>
      </c>
      <c r="E65" s="4" t="s">
        <v>27</v>
      </c>
      <c r="F65" s="11">
        <f t="shared" si="103"/>
        <v>1</v>
      </c>
      <c r="G65" s="11">
        <f t="shared" si="104"/>
        <v>31</v>
      </c>
      <c r="H65" s="11">
        <f t="shared" si="105"/>
        <v>47</v>
      </c>
      <c r="I65" s="11">
        <f t="shared" si="106"/>
        <v>200</v>
      </c>
    </row>
    <row r="66" spans="1:9" x14ac:dyDescent="0.3">
      <c r="A66" s="2" t="s">
        <v>233</v>
      </c>
      <c r="B66" s="7">
        <v>0.01</v>
      </c>
      <c r="C66" s="7">
        <v>0.31</v>
      </c>
      <c r="D66" s="7">
        <v>0.47</v>
      </c>
      <c r="E66" s="4" t="s">
        <v>27</v>
      </c>
      <c r="F66" s="11">
        <f t="shared" si="13"/>
        <v>1</v>
      </c>
      <c r="G66" s="11">
        <f t="shared" si="6"/>
        <v>31</v>
      </c>
      <c r="H66" s="11">
        <f t="shared" si="7"/>
        <v>47</v>
      </c>
      <c r="I66" s="11">
        <f t="shared" si="42"/>
        <v>200</v>
      </c>
    </row>
    <row r="67" spans="1:9" x14ac:dyDescent="0.3">
      <c r="A67" s="2" t="s">
        <v>151</v>
      </c>
      <c r="B67" s="7">
        <v>0.01</v>
      </c>
      <c r="C67" s="7">
        <v>0.31</v>
      </c>
      <c r="D67" s="7">
        <v>0.47</v>
      </c>
      <c r="E67" s="4" t="s">
        <v>27</v>
      </c>
      <c r="F67" s="11">
        <f>IFERROR(B67*100,"-")</f>
        <v>1</v>
      </c>
      <c r="G67" s="11">
        <f>IFERROR(C67*100,"-")</f>
        <v>31</v>
      </c>
      <c r="H67" s="11">
        <f>IFERROR(D67*100,"-")</f>
        <v>47</v>
      </c>
      <c r="I67" s="11">
        <f>IFERROR(E67*1000,"-")</f>
        <v>200</v>
      </c>
    </row>
    <row r="68" spans="1:9" x14ac:dyDescent="0.3">
      <c r="A68" s="2" t="s">
        <v>40</v>
      </c>
      <c r="B68" s="7">
        <v>0.02</v>
      </c>
      <c r="C68" s="7">
        <v>0.27</v>
      </c>
      <c r="D68" s="7">
        <v>0.35</v>
      </c>
      <c r="E68" s="4" t="s">
        <v>35</v>
      </c>
      <c r="F68" s="11">
        <f t="shared" si="13"/>
        <v>2</v>
      </c>
      <c r="G68" s="11">
        <f t="shared" si="6"/>
        <v>27</v>
      </c>
      <c r="H68" s="11">
        <f t="shared" si="7"/>
        <v>35</v>
      </c>
      <c r="I68" s="11">
        <f t="shared" si="42"/>
        <v>300</v>
      </c>
    </row>
    <row r="69" spans="1:9" x14ac:dyDescent="0.3">
      <c r="A69" s="2" t="s">
        <v>41</v>
      </c>
      <c r="B69" s="7">
        <v>0.01</v>
      </c>
      <c r="C69" s="7">
        <v>0.28000000000000003</v>
      </c>
      <c r="D69" s="7">
        <v>0.33</v>
      </c>
      <c r="E69" s="4" t="s">
        <v>35</v>
      </c>
      <c r="F69" s="11">
        <f t="shared" si="13"/>
        <v>1</v>
      </c>
      <c r="G69" s="11">
        <f t="shared" si="6"/>
        <v>28.000000000000004</v>
      </c>
      <c r="H69" s="11">
        <f t="shared" si="7"/>
        <v>33</v>
      </c>
      <c r="I69" s="11">
        <f t="shared" si="42"/>
        <v>300</v>
      </c>
    </row>
    <row r="70" spans="1:9" x14ac:dyDescent="0.3">
      <c r="A70" s="2" t="s">
        <v>196</v>
      </c>
      <c r="B70" s="7">
        <v>0.01</v>
      </c>
      <c r="C70" s="7">
        <v>0.28999999999999998</v>
      </c>
      <c r="D70" s="7">
        <v>0.38</v>
      </c>
      <c r="E70" s="4" t="s">
        <v>27</v>
      </c>
      <c r="F70" s="11">
        <f t="shared" ref="F70" si="107">IFERROR(B70*100,"-")</f>
        <v>1</v>
      </c>
      <c r="G70" s="11">
        <f t="shared" ref="G70" si="108">IFERROR(C70*100,"-")</f>
        <v>28.999999999999996</v>
      </c>
      <c r="H70" s="11">
        <f t="shared" ref="H70" si="109">IFERROR(D70*100,"-")</f>
        <v>38</v>
      </c>
      <c r="I70" s="11">
        <f t="shared" ref="I70" si="110">IFERROR(E70*1000,"-")</f>
        <v>200</v>
      </c>
    </row>
    <row r="71" spans="1:9" x14ac:dyDescent="0.3">
      <c r="A71" s="2" t="s">
        <v>223</v>
      </c>
      <c r="B71" s="7">
        <v>0.01</v>
      </c>
      <c r="C71" s="7">
        <v>0.28999999999999998</v>
      </c>
      <c r="D71" s="7">
        <v>0.38</v>
      </c>
      <c r="E71" s="4" t="s">
        <v>27</v>
      </c>
      <c r="F71" s="11">
        <f t="shared" si="13"/>
        <v>1</v>
      </c>
      <c r="G71" s="11">
        <f t="shared" si="6"/>
        <v>28.999999999999996</v>
      </c>
      <c r="H71" s="11">
        <f t="shared" si="7"/>
        <v>38</v>
      </c>
      <c r="I71" s="11">
        <f t="shared" si="42"/>
        <v>200</v>
      </c>
    </row>
    <row r="72" spans="1:9" x14ac:dyDescent="0.3">
      <c r="A72" s="2" t="s">
        <v>198</v>
      </c>
      <c r="B72" s="7">
        <v>0.02</v>
      </c>
      <c r="C72" s="7">
        <v>0.27</v>
      </c>
      <c r="D72" s="7">
        <v>0.39</v>
      </c>
      <c r="E72" s="4" t="s">
        <v>44</v>
      </c>
      <c r="F72" s="11">
        <f t="shared" ref="F72" si="111">IFERROR(B72*100,"-")</f>
        <v>2</v>
      </c>
      <c r="G72" s="11">
        <f t="shared" ref="G72" si="112">IFERROR(C72*100,"-")</f>
        <v>27</v>
      </c>
      <c r="H72" s="11">
        <f t="shared" ref="H72" si="113">IFERROR(D72*100,"-")</f>
        <v>39</v>
      </c>
      <c r="I72" s="11">
        <f t="shared" ref="I72" si="114">IFERROR(E72*1000,"-")</f>
        <v>553</v>
      </c>
    </row>
    <row r="73" spans="1:9" x14ac:dyDescent="0.3">
      <c r="A73" s="2" t="s">
        <v>43</v>
      </c>
      <c r="B73" s="7">
        <v>0.02</v>
      </c>
      <c r="C73" s="7">
        <v>0.27</v>
      </c>
      <c r="D73" s="7">
        <v>0.39</v>
      </c>
      <c r="E73" s="4" t="s">
        <v>44</v>
      </c>
      <c r="F73" s="11">
        <f t="shared" si="13"/>
        <v>2</v>
      </c>
      <c r="G73" s="11">
        <f t="shared" si="6"/>
        <v>27</v>
      </c>
      <c r="H73" s="11">
        <f t="shared" si="7"/>
        <v>39</v>
      </c>
      <c r="I73" s="11">
        <f t="shared" si="42"/>
        <v>553</v>
      </c>
    </row>
    <row r="74" spans="1:9" x14ac:dyDescent="0.3">
      <c r="A74" s="2" t="s">
        <v>254</v>
      </c>
      <c r="B74" s="7">
        <v>0.02</v>
      </c>
      <c r="C74" s="7">
        <v>0.18</v>
      </c>
      <c r="D74" s="7">
        <v>0.2</v>
      </c>
      <c r="E74" s="4" t="s">
        <v>46</v>
      </c>
      <c r="F74" s="11">
        <f t="shared" ref="F74" si="115">IFERROR(B74*100,"-")</f>
        <v>2</v>
      </c>
      <c r="G74" s="11">
        <f t="shared" ref="G74" si="116">IFERROR(C74*100,"-")</f>
        <v>18</v>
      </c>
      <c r="H74" s="11">
        <f t="shared" ref="H74" si="117">IFERROR(D74*100,"-")</f>
        <v>20</v>
      </c>
      <c r="I74" s="11">
        <f t="shared" ref="I74" si="118">IFERROR(E74*1000,"-")</f>
        <v>160</v>
      </c>
    </row>
    <row r="75" spans="1:9" x14ac:dyDescent="0.3">
      <c r="A75" s="2" t="s">
        <v>45</v>
      </c>
      <c r="B75" s="7">
        <v>0.02</v>
      </c>
      <c r="C75" s="7">
        <v>0.18</v>
      </c>
      <c r="D75" s="7">
        <v>0.2</v>
      </c>
      <c r="E75" s="4" t="s">
        <v>46</v>
      </c>
      <c r="F75" s="11">
        <f t="shared" si="13"/>
        <v>2</v>
      </c>
      <c r="G75" s="11">
        <f t="shared" si="6"/>
        <v>18</v>
      </c>
      <c r="H75" s="11">
        <f t="shared" si="7"/>
        <v>20</v>
      </c>
      <c r="I75" s="11">
        <f t="shared" si="42"/>
        <v>160</v>
      </c>
    </row>
    <row r="76" spans="1:9" x14ac:dyDescent="0.3">
      <c r="A76" s="2" t="s">
        <v>47</v>
      </c>
      <c r="B76" s="7">
        <v>0.01</v>
      </c>
      <c r="C76" s="7">
        <v>0.16</v>
      </c>
      <c r="D76" s="7">
        <v>0.17</v>
      </c>
      <c r="E76" s="4" t="s">
        <v>48</v>
      </c>
      <c r="F76" s="11">
        <f t="shared" ref="F76" si="119">IFERROR(B76*100,"-")</f>
        <v>1</v>
      </c>
      <c r="G76" s="11">
        <f t="shared" ref="G76" si="120">IFERROR(C76*100,"-")</f>
        <v>16</v>
      </c>
      <c r="H76" s="11">
        <f t="shared" ref="H76" si="121">IFERROR(D76*100,"-")</f>
        <v>17</v>
      </c>
      <c r="I76" s="11">
        <f t="shared" ref="I76" si="122">IFERROR(E76*1000,"-")</f>
        <v>100</v>
      </c>
    </row>
    <row r="77" spans="1:9" x14ac:dyDescent="0.3">
      <c r="A77" s="2" t="s">
        <v>229</v>
      </c>
      <c r="B77" s="7">
        <v>0.01</v>
      </c>
      <c r="C77" s="7">
        <v>0.16</v>
      </c>
      <c r="D77" s="7">
        <v>0.17</v>
      </c>
      <c r="E77" s="4" t="s">
        <v>48</v>
      </c>
      <c r="F77" s="11">
        <f t="shared" si="13"/>
        <v>1</v>
      </c>
      <c r="G77" s="11">
        <f t="shared" si="6"/>
        <v>16</v>
      </c>
      <c r="H77" s="11">
        <f t="shared" si="7"/>
        <v>17</v>
      </c>
      <c r="I77" s="11">
        <f t="shared" si="42"/>
        <v>100</v>
      </c>
    </row>
    <row r="78" spans="1:9" x14ac:dyDescent="0.3">
      <c r="A78" s="2" t="s">
        <v>230</v>
      </c>
      <c r="B78" s="7">
        <v>0.01</v>
      </c>
      <c r="C78" s="7">
        <v>0.15</v>
      </c>
      <c r="D78" s="7">
        <v>0.18</v>
      </c>
      <c r="E78" s="4" t="s">
        <v>48</v>
      </c>
      <c r="F78" s="11">
        <f t="shared" ref="F78" si="123">IFERROR(B78*100,"-")</f>
        <v>1</v>
      </c>
      <c r="G78" s="11">
        <f t="shared" ref="G78" si="124">IFERROR(C78*100,"-")</f>
        <v>15</v>
      </c>
      <c r="H78" s="11">
        <f t="shared" ref="H78" si="125">IFERROR(D78*100,"-")</f>
        <v>18</v>
      </c>
      <c r="I78" s="11">
        <f t="shared" ref="I78" si="126">IFERROR(E78*1000,"-")</f>
        <v>100</v>
      </c>
    </row>
    <row r="79" spans="1:9" x14ac:dyDescent="0.3">
      <c r="A79" s="2" t="s">
        <v>49</v>
      </c>
      <c r="B79" s="7">
        <v>0.01</v>
      </c>
      <c r="C79" s="7">
        <v>0.15</v>
      </c>
      <c r="D79" s="7">
        <v>0.18</v>
      </c>
      <c r="E79" s="4" t="s">
        <v>48</v>
      </c>
      <c r="F79" s="11">
        <f t="shared" si="13"/>
        <v>1</v>
      </c>
      <c r="G79" s="11">
        <f t="shared" si="6"/>
        <v>15</v>
      </c>
      <c r="H79" s="11">
        <f t="shared" si="7"/>
        <v>18</v>
      </c>
      <c r="I79" s="11">
        <f t="shared" si="42"/>
        <v>100</v>
      </c>
    </row>
    <row r="80" spans="1:9" x14ac:dyDescent="0.3">
      <c r="A80" s="2" t="s">
        <v>50</v>
      </c>
      <c r="B80" s="13">
        <v>0.01</v>
      </c>
      <c r="C80" s="13">
        <v>0.28000000000000003</v>
      </c>
      <c r="D80" s="13">
        <v>0.33</v>
      </c>
      <c r="E80" s="14" t="s">
        <v>35</v>
      </c>
      <c r="F80" s="11">
        <f t="shared" si="13"/>
        <v>1</v>
      </c>
      <c r="G80" s="11">
        <f t="shared" si="6"/>
        <v>28.000000000000004</v>
      </c>
      <c r="H80" s="11">
        <f t="shared" si="7"/>
        <v>33</v>
      </c>
      <c r="I80" s="11">
        <f t="shared" si="42"/>
        <v>300</v>
      </c>
    </row>
    <row r="81" spans="1:9" x14ac:dyDescent="0.3">
      <c r="A81" s="2" t="s">
        <v>180</v>
      </c>
      <c r="B81" s="7">
        <v>0.01</v>
      </c>
      <c r="C81" s="7">
        <v>0.28000000000000003</v>
      </c>
      <c r="D81" s="7">
        <v>0.36</v>
      </c>
      <c r="E81" s="4" t="s">
        <v>27</v>
      </c>
      <c r="F81" s="11">
        <f t="shared" si="13"/>
        <v>1</v>
      </c>
      <c r="G81" s="11">
        <f t="shared" si="6"/>
        <v>28.000000000000004</v>
      </c>
      <c r="H81" s="11">
        <f t="shared" si="7"/>
        <v>36</v>
      </c>
      <c r="I81" s="11">
        <f t="shared" si="42"/>
        <v>200</v>
      </c>
    </row>
    <row r="82" spans="1:9" x14ac:dyDescent="0.3">
      <c r="A82" s="2" t="s">
        <v>179</v>
      </c>
      <c r="B82" s="7">
        <v>0.01</v>
      </c>
      <c r="C82" s="7">
        <v>0.28000000000000003</v>
      </c>
      <c r="D82" s="7">
        <v>0.36</v>
      </c>
      <c r="E82" s="4" t="s">
        <v>27</v>
      </c>
      <c r="F82" s="11">
        <f t="shared" ref="F82" si="127">IFERROR(B82*100,"-")</f>
        <v>1</v>
      </c>
      <c r="G82" s="11">
        <f t="shared" ref="G82" si="128">IFERROR(C82*100,"-")</f>
        <v>28.000000000000004</v>
      </c>
      <c r="H82" s="11">
        <f t="shared" ref="H82" si="129">IFERROR(D82*100,"-")</f>
        <v>36</v>
      </c>
      <c r="I82" s="11">
        <f t="shared" ref="I82" si="130">IFERROR(E82*1000,"-")</f>
        <v>200</v>
      </c>
    </row>
    <row r="83" spans="1:9" x14ac:dyDescent="0.3">
      <c r="A83" s="2" t="s">
        <v>241</v>
      </c>
      <c r="B83" s="7">
        <v>0.01</v>
      </c>
      <c r="C83" s="7">
        <v>0.28000000000000003</v>
      </c>
      <c r="D83" s="7">
        <v>0.36</v>
      </c>
      <c r="E83" s="4" t="s">
        <v>27</v>
      </c>
      <c r="F83" s="11">
        <f t="shared" si="13"/>
        <v>1</v>
      </c>
      <c r="G83" s="11">
        <f t="shared" si="6"/>
        <v>28.000000000000004</v>
      </c>
      <c r="H83" s="11">
        <f t="shared" si="7"/>
        <v>36</v>
      </c>
      <c r="I83" s="11">
        <f t="shared" si="42"/>
        <v>200</v>
      </c>
    </row>
    <row r="84" spans="1:9" x14ac:dyDescent="0.3">
      <c r="A84" s="2" t="s">
        <v>246</v>
      </c>
      <c r="B84" s="7">
        <v>0.02</v>
      </c>
      <c r="C84" s="7">
        <v>0.27</v>
      </c>
      <c r="D84" s="7">
        <v>0.42</v>
      </c>
      <c r="E84" s="4" t="s">
        <v>9</v>
      </c>
      <c r="F84" s="11">
        <f t="shared" ref="F84" si="131">IFERROR(B84*100,"-")</f>
        <v>2</v>
      </c>
      <c r="G84" s="11">
        <f t="shared" ref="G84" si="132">IFERROR(C84*100,"-")</f>
        <v>27</v>
      </c>
      <c r="H84" s="11">
        <f t="shared" ref="H84" si="133">IFERROR(D84*100,"-")</f>
        <v>42</v>
      </c>
      <c r="I84" s="11">
        <f t="shared" ref="I84" si="134">IFERROR(E84*1000,"-")</f>
        <v>400</v>
      </c>
    </row>
    <row r="85" spans="1:9" x14ac:dyDescent="0.3">
      <c r="A85" s="2" t="s">
        <v>240</v>
      </c>
      <c r="B85" s="7">
        <v>0.02</v>
      </c>
      <c r="C85" s="7">
        <v>0.27</v>
      </c>
      <c r="D85" s="7">
        <v>0.42</v>
      </c>
      <c r="E85" s="4" t="s">
        <v>9</v>
      </c>
      <c r="F85" s="11">
        <f t="shared" si="13"/>
        <v>2</v>
      </c>
      <c r="G85" s="11">
        <f t="shared" si="6"/>
        <v>27</v>
      </c>
      <c r="H85" s="11">
        <f t="shared" si="7"/>
        <v>42</v>
      </c>
      <c r="I85" s="11">
        <f t="shared" si="42"/>
        <v>400</v>
      </c>
    </row>
    <row r="86" spans="1:9" x14ac:dyDescent="0.3">
      <c r="A86" s="2" t="s">
        <v>215</v>
      </c>
      <c r="B86" s="7">
        <v>0.02</v>
      </c>
      <c r="C86" s="7">
        <v>0.26</v>
      </c>
      <c r="D86" s="7">
        <v>0.31</v>
      </c>
      <c r="E86" s="4" t="s">
        <v>9</v>
      </c>
      <c r="F86" s="11">
        <f t="shared" ref="F86" si="135">IFERROR(B86*100,"-")</f>
        <v>2</v>
      </c>
      <c r="G86" s="11">
        <f t="shared" ref="G86" si="136">IFERROR(C86*100,"-")</f>
        <v>26</v>
      </c>
      <c r="H86" s="11">
        <f t="shared" ref="H86" si="137">IFERROR(D86*100,"-")</f>
        <v>31</v>
      </c>
      <c r="I86" s="11">
        <f t="shared" ref="I86" si="138">IFERROR(E86*1000,"-")</f>
        <v>400</v>
      </c>
    </row>
    <row r="87" spans="1:9" x14ac:dyDescent="0.3">
      <c r="A87" s="2" t="s">
        <v>53</v>
      </c>
      <c r="B87" s="7">
        <v>0.02</v>
      </c>
      <c r="C87" s="7">
        <v>0.26</v>
      </c>
      <c r="D87" s="7">
        <v>0.31</v>
      </c>
      <c r="E87" s="4" t="s">
        <v>9</v>
      </c>
      <c r="F87" s="11">
        <f t="shared" si="13"/>
        <v>2</v>
      </c>
      <c r="G87" s="11">
        <f t="shared" si="6"/>
        <v>26</v>
      </c>
      <c r="H87" s="11">
        <f t="shared" si="7"/>
        <v>31</v>
      </c>
      <c r="I87" s="11">
        <f t="shared" si="42"/>
        <v>400</v>
      </c>
    </row>
    <row r="88" spans="1:9" x14ac:dyDescent="0.3">
      <c r="A88" s="2" t="s">
        <v>129</v>
      </c>
      <c r="B88" s="7">
        <v>0.02</v>
      </c>
      <c r="C88" s="7">
        <v>0.26</v>
      </c>
      <c r="D88" s="7">
        <v>0.31</v>
      </c>
      <c r="E88" s="4" t="s">
        <v>9</v>
      </c>
      <c r="F88" s="11">
        <f t="shared" ref="F88:F89" si="139">IFERROR(B88*100,"-")</f>
        <v>2</v>
      </c>
      <c r="G88" s="11">
        <f t="shared" ref="G88:G89" si="140">IFERROR(C88*100,"-")</f>
        <v>26</v>
      </c>
      <c r="H88" s="11">
        <f t="shared" ref="H88:H89" si="141">IFERROR(D88*100,"-")</f>
        <v>31</v>
      </c>
      <c r="I88" s="11">
        <f t="shared" ref="I88:I89" si="142">IFERROR(E88*1000,"-")</f>
        <v>400</v>
      </c>
    </row>
    <row r="89" spans="1:9" x14ac:dyDescent="0.3">
      <c r="A89" s="2" t="s">
        <v>54</v>
      </c>
      <c r="B89" s="7">
        <v>0.02</v>
      </c>
      <c r="C89" s="7">
        <v>0.23</v>
      </c>
      <c r="D89" s="7">
        <v>0.34</v>
      </c>
      <c r="E89" s="4" t="s">
        <v>9</v>
      </c>
      <c r="F89" s="11">
        <f t="shared" si="139"/>
        <v>2</v>
      </c>
      <c r="G89" s="11">
        <f t="shared" si="140"/>
        <v>23</v>
      </c>
      <c r="H89" s="11">
        <f t="shared" si="141"/>
        <v>34</v>
      </c>
      <c r="I89" s="11">
        <f t="shared" si="142"/>
        <v>400</v>
      </c>
    </row>
    <row r="90" spans="1:9" x14ac:dyDescent="0.3">
      <c r="A90" s="2" t="s">
        <v>236</v>
      </c>
      <c r="B90" s="7">
        <v>0.02</v>
      </c>
      <c r="C90" s="7">
        <v>0.23</v>
      </c>
      <c r="D90" s="7">
        <v>0.34</v>
      </c>
      <c r="E90" s="4" t="s">
        <v>9</v>
      </c>
      <c r="F90" s="11">
        <f t="shared" si="13"/>
        <v>2</v>
      </c>
      <c r="G90" s="11">
        <f t="shared" si="6"/>
        <v>23</v>
      </c>
      <c r="H90" s="11">
        <f t="shared" si="7"/>
        <v>34</v>
      </c>
      <c r="I90" s="11">
        <f t="shared" si="42"/>
        <v>400</v>
      </c>
    </row>
    <row r="91" spans="1:9" x14ac:dyDescent="0.3">
      <c r="A91" s="2" t="s">
        <v>55</v>
      </c>
      <c r="B91" s="7">
        <v>0.02</v>
      </c>
      <c r="C91" s="7">
        <v>0.27</v>
      </c>
      <c r="D91" s="7">
        <v>0.39</v>
      </c>
      <c r="E91" s="4" t="s">
        <v>44</v>
      </c>
      <c r="F91" s="11">
        <v>2</v>
      </c>
      <c r="G91" s="11">
        <v>27</v>
      </c>
      <c r="H91" s="11">
        <v>39</v>
      </c>
      <c r="I91" s="11">
        <v>553</v>
      </c>
    </row>
    <row r="92" spans="1:9" x14ac:dyDescent="0.3">
      <c r="A92" s="2" t="s">
        <v>189</v>
      </c>
      <c r="B92" s="13">
        <v>0.02</v>
      </c>
      <c r="C92" s="13">
        <v>0.27</v>
      </c>
      <c r="D92" s="13">
        <v>0.39</v>
      </c>
      <c r="E92" s="14" t="s">
        <v>44</v>
      </c>
      <c r="F92" s="11">
        <f t="shared" si="13"/>
        <v>2</v>
      </c>
      <c r="G92" s="11">
        <f t="shared" si="6"/>
        <v>27</v>
      </c>
      <c r="H92" s="11">
        <f t="shared" si="7"/>
        <v>39</v>
      </c>
      <c r="I92" s="11">
        <f t="shared" si="42"/>
        <v>553</v>
      </c>
    </row>
    <row r="93" spans="1:9" x14ac:dyDescent="0.3">
      <c r="A93" s="2" t="s">
        <v>56</v>
      </c>
      <c r="B93" s="13">
        <v>0.01</v>
      </c>
      <c r="C93" s="13">
        <v>0.27</v>
      </c>
      <c r="D93" s="13">
        <v>0.28999999999999998</v>
      </c>
      <c r="E93" s="14" t="s">
        <v>27</v>
      </c>
      <c r="F93" s="11">
        <f t="shared" si="13"/>
        <v>1</v>
      </c>
      <c r="G93" s="11">
        <f t="shared" si="6"/>
        <v>27</v>
      </c>
      <c r="H93" s="11">
        <f t="shared" si="7"/>
        <v>28.999999999999996</v>
      </c>
      <c r="I93" s="11">
        <f t="shared" si="42"/>
        <v>200</v>
      </c>
    </row>
    <row r="94" spans="1:9" x14ac:dyDescent="0.3">
      <c r="A94" s="2" t="s">
        <v>208</v>
      </c>
      <c r="B94" s="13">
        <v>0.01</v>
      </c>
      <c r="C94" s="13">
        <v>0.27</v>
      </c>
      <c r="D94" s="13">
        <v>0.28999999999999998</v>
      </c>
      <c r="E94" s="14" t="s">
        <v>27</v>
      </c>
      <c r="F94" s="11">
        <f t="shared" si="13"/>
        <v>1</v>
      </c>
      <c r="G94" s="11">
        <f t="shared" si="6"/>
        <v>27</v>
      </c>
      <c r="H94" s="11">
        <f t="shared" si="7"/>
        <v>28.999999999999996</v>
      </c>
      <c r="I94" s="11">
        <f t="shared" si="42"/>
        <v>200</v>
      </c>
    </row>
    <row r="95" spans="1:9" x14ac:dyDescent="0.3">
      <c r="A95" s="2" t="s">
        <v>146</v>
      </c>
      <c r="B95" s="13">
        <v>0.01</v>
      </c>
      <c r="C95" s="13">
        <v>0.27</v>
      </c>
      <c r="D95" s="13">
        <v>0.28999999999999998</v>
      </c>
      <c r="E95" s="14" t="s">
        <v>27</v>
      </c>
      <c r="F95" s="11">
        <f t="shared" ref="F95" si="143">IFERROR(B95*100,"-")</f>
        <v>1</v>
      </c>
      <c r="G95" s="11">
        <f t="shared" ref="G95" si="144">IFERROR(C95*100,"-")</f>
        <v>27</v>
      </c>
      <c r="H95" s="11">
        <f t="shared" ref="H95" si="145">IFERROR(D95*100,"-")</f>
        <v>28.999999999999996</v>
      </c>
      <c r="I95" s="11">
        <f t="shared" ref="I95" si="146">IFERROR(E95*1000,"-")</f>
        <v>200</v>
      </c>
    </row>
    <row r="96" spans="1:9" x14ac:dyDescent="0.3">
      <c r="A96" s="2" t="s">
        <v>149</v>
      </c>
      <c r="B96" s="13">
        <v>0.01</v>
      </c>
      <c r="C96" s="13">
        <v>0.27</v>
      </c>
      <c r="D96" s="13">
        <v>0.28999999999999998</v>
      </c>
      <c r="E96" s="14" t="s">
        <v>27</v>
      </c>
      <c r="F96" s="11">
        <f t="shared" ref="F96" si="147">IFERROR(B96*100,"-")</f>
        <v>1</v>
      </c>
      <c r="G96" s="11">
        <f t="shared" ref="G96" si="148">IFERROR(C96*100,"-")</f>
        <v>27</v>
      </c>
      <c r="H96" s="11">
        <f t="shared" ref="H96" si="149">IFERROR(D96*100,"-")</f>
        <v>28.999999999999996</v>
      </c>
      <c r="I96" s="11">
        <f t="shared" ref="I96" si="150">IFERROR(E96*1000,"-")</f>
        <v>200</v>
      </c>
    </row>
    <row r="97" spans="1:9" x14ac:dyDescent="0.3">
      <c r="A97" s="2" t="s">
        <v>234</v>
      </c>
      <c r="B97" s="13">
        <v>0.01</v>
      </c>
      <c r="C97" s="13">
        <v>0.27</v>
      </c>
      <c r="D97" s="13">
        <v>0.28999999999999998</v>
      </c>
      <c r="E97" s="14" t="s">
        <v>27</v>
      </c>
      <c r="F97" s="11">
        <f t="shared" ref="F97" si="151">IFERROR(B97*100,"-")</f>
        <v>1</v>
      </c>
      <c r="G97" s="11">
        <f t="shared" ref="G97" si="152">IFERROR(C97*100,"-")</f>
        <v>27</v>
      </c>
      <c r="H97" s="11">
        <f t="shared" ref="H97" si="153">IFERROR(D97*100,"-")</f>
        <v>28.999999999999996</v>
      </c>
      <c r="I97" s="11">
        <f t="shared" ref="I97" si="154">IFERROR(E97*1000,"-")</f>
        <v>200</v>
      </c>
    </row>
    <row r="98" spans="1:9" x14ac:dyDescent="0.3">
      <c r="A98" s="2" t="s">
        <v>57</v>
      </c>
      <c r="B98" s="7">
        <v>7.0000000000000007E-2</v>
      </c>
      <c r="C98" s="7">
        <v>0.46</v>
      </c>
      <c r="D98" s="7">
        <v>0.5</v>
      </c>
      <c r="E98" s="4" t="s">
        <v>58</v>
      </c>
      <c r="F98" s="11">
        <f t="shared" si="13"/>
        <v>7.0000000000000009</v>
      </c>
      <c r="G98" s="11">
        <f t="shared" si="6"/>
        <v>46</v>
      </c>
      <c r="H98" s="11">
        <f t="shared" si="7"/>
        <v>50</v>
      </c>
      <c r="I98" s="11">
        <f t="shared" si="42"/>
        <v>1010</v>
      </c>
    </row>
    <row r="99" spans="1:9" x14ac:dyDescent="0.3">
      <c r="A99" s="2" t="s">
        <v>157</v>
      </c>
      <c r="B99" s="7">
        <v>7.0000000000000007E-2</v>
      </c>
      <c r="C99" s="7">
        <v>0.46</v>
      </c>
      <c r="D99" s="7">
        <v>0.5</v>
      </c>
      <c r="E99" s="4" t="s">
        <v>58</v>
      </c>
      <c r="F99" s="11">
        <f t="shared" ref="F99:F102" si="155">IFERROR(B99*100,"-")</f>
        <v>7.0000000000000009</v>
      </c>
      <c r="G99" s="11">
        <f t="shared" ref="G99:G102" si="156">IFERROR(C99*100,"-")</f>
        <v>46</v>
      </c>
      <c r="H99" s="11">
        <f t="shared" ref="H99:H102" si="157">IFERROR(D99*100,"-")</f>
        <v>50</v>
      </c>
      <c r="I99" s="11">
        <f t="shared" ref="I99:I102" si="158">IFERROR(E99*1000,"-")</f>
        <v>1010</v>
      </c>
    </row>
    <row r="100" spans="1:9" x14ac:dyDescent="0.3">
      <c r="A100" s="2" t="s">
        <v>181</v>
      </c>
      <c r="B100" s="7">
        <v>0.02</v>
      </c>
      <c r="C100" s="7">
        <v>0.27</v>
      </c>
      <c r="D100" s="7">
        <v>0.26</v>
      </c>
      <c r="E100" s="4" t="s">
        <v>60</v>
      </c>
      <c r="F100" s="11">
        <f t="shared" ref="F100:F101" si="159">IFERROR(B100*100,"-")</f>
        <v>2</v>
      </c>
      <c r="G100" s="11">
        <f t="shared" ref="G100:G101" si="160">IFERROR(C100*100,"-")</f>
        <v>27</v>
      </c>
      <c r="H100" s="11">
        <f t="shared" ref="H100:H101" si="161">IFERROR(D100*100,"-")</f>
        <v>26</v>
      </c>
      <c r="I100" s="11">
        <f t="shared" ref="I100:I101" si="162">IFERROR(E100*1000,"-")</f>
        <v>110</v>
      </c>
    </row>
    <row r="101" spans="1:9" x14ac:dyDescent="0.3">
      <c r="A101" s="2" t="s">
        <v>239</v>
      </c>
      <c r="B101" s="7">
        <v>0.02</v>
      </c>
      <c r="C101" s="7">
        <v>0.27</v>
      </c>
      <c r="D101" s="7">
        <v>0.26</v>
      </c>
      <c r="E101" s="4" t="s">
        <v>60</v>
      </c>
      <c r="F101" s="11">
        <f t="shared" si="159"/>
        <v>2</v>
      </c>
      <c r="G101" s="11">
        <f t="shared" si="160"/>
        <v>27</v>
      </c>
      <c r="H101" s="11">
        <f t="shared" si="161"/>
        <v>26</v>
      </c>
      <c r="I101" s="11">
        <f t="shared" si="162"/>
        <v>110</v>
      </c>
    </row>
    <row r="102" spans="1:9" x14ac:dyDescent="0.3">
      <c r="A102" s="2" t="s">
        <v>231</v>
      </c>
      <c r="B102" s="7">
        <v>0.02</v>
      </c>
      <c r="C102" s="7">
        <v>0.27</v>
      </c>
      <c r="D102" s="7">
        <v>0.26</v>
      </c>
      <c r="E102" s="4" t="s">
        <v>60</v>
      </c>
      <c r="F102" s="11">
        <f t="shared" si="155"/>
        <v>2</v>
      </c>
      <c r="G102" s="11">
        <f t="shared" si="156"/>
        <v>27</v>
      </c>
      <c r="H102" s="11">
        <f t="shared" si="157"/>
        <v>26</v>
      </c>
      <c r="I102" s="11">
        <f t="shared" si="158"/>
        <v>110</v>
      </c>
    </row>
    <row r="103" spans="1:9" x14ac:dyDescent="0.3">
      <c r="A103" s="2" t="s">
        <v>59</v>
      </c>
      <c r="B103" s="7">
        <v>0.02</v>
      </c>
      <c r="C103" s="7">
        <v>0.27</v>
      </c>
      <c r="D103" s="7">
        <v>0.26</v>
      </c>
      <c r="E103" s="4" t="s">
        <v>60</v>
      </c>
      <c r="F103" s="11">
        <f t="shared" si="13"/>
        <v>2</v>
      </c>
      <c r="G103" s="11">
        <f t="shared" si="6"/>
        <v>27</v>
      </c>
      <c r="H103" s="11">
        <f t="shared" si="7"/>
        <v>26</v>
      </c>
      <c r="I103" s="11">
        <f t="shared" si="42"/>
        <v>110</v>
      </c>
    </row>
    <row r="104" spans="1:9" x14ac:dyDescent="0.3">
      <c r="A104" s="2" t="s">
        <v>207</v>
      </c>
      <c r="B104" s="7">
        <v>0.02</v>
      </c>
      <c r="C104" s="7">
        <v>0.13</v>
      </c>
      <c r="D104" s="7">
        <v>0.1</v>
      </c>
      <c r="E104" s="4" t="s">
        <v>48</v>
      </c>
      <c r="F104" s="11">
        <f t="shared" si="13"/>
        <v>2</v>
      </c>
      <c r="G104" s="11">
        <f t="shared" si="6"/>
        <v>13</v>
      </c>
      <c r="H104" s="11">
        <f t="shared" si="7"/>
        <v>10</v>
      </c>
      <c r="I104" s="11">
        <f t="shared" si="42"/>
        <v>100</v>
      </c>
    </row>
    <row r="105" spans="1:9" x14ac:dyDescent="0.3">
      <c r="A105" s="2" t="s">
        <v>206</v>
      </c>
      <c r="B105" s="7">
        <v>0.02</v>
      </c>
      <c r="C105" s="7">
        <v>0.13</v>
      </c>
      <c r="D105" s="7">
        <v>0.1</v>
      </c>
      <c r="E105" s="4" t="s">
        <v>48</v>
      </c>
      <c r="F105" s="11">
        <f t="shared" ref="F105" si="163">IFERROR(B105*100,"-")</f>
        <v>2</v>
      </c>
      <c r="G105" s="11">
        <f t="shared" ref="G105" si="164">IFERROR(C105*100,"-")</f>
        <v>13</v>
      </c>
      <c r="H105" s="11">
        <f t="shared" ref="H105" si="165">IFERROR(D105*100,"-")</f>
        <v>10</v>
      </c>
      <c r="I105" s="11">
        <f t="shared" ref="I105" si="166">IFERROR(E105*1000,"-")</f>
        <v>100</v>
      </c>
    </row>
    <row r="106" spans="1:9" x14ac:dyDescent="0.3">
      <c r="A106" s="2" t="s">
        <v>224</v>
      </c>
      <c r="B106" s="7">
        <v>0.02</v>
      </c>
      <c r="C106" s="7">
        <v>0.13</v>
      </c>
      <c r="D106" s="7">
        <v>0.1</v>
      </c>
      <c r="E106" s="4" t="s">
        <v>48</v>
      </c>
      <c r="F106" s="11">
        <f t="shared" si="13"/>
        <v>2</v>
      </c>
      <c r="G106" s="11">
        <f t="shared" si="6"/>
        <v>13</v>
      </c>
      <c r="H106" s="11">
        <f t="shared" si="7"/>
        <v>10</v>
      </c>
      <c r="I106" s="11">
        <f t="shared" si="42"/>
        <v>100</v>
      </c>
    </row>
    <row r="107" spans="1:9" x14ac:dyDescent="0.3">
      <c r="A107" s="2" t="s">
        <v>63</v>
      </c>
      <c r="B107" s="7">
        <v>0.04</v>
      </c>
      <c r="C107" s="7">
        <v>0.06</v>
      </c>
      <c r="D107" s="7">
        <v>0.06</v>
      </c>
      <c r="E107" s="4" t="s">
        <v>64</v>
      </c>
      <c r="F107" s="11">
        <f t="shared" si="13"/>
        <v>4</v>
      </c>
      <c r="G107" s="11">
        <f t="shared" si="6"/>
        <v>6</v>
      </c>
      <c r="H107" s="11">
        <f t="shared" si="7"/>
        <v>6</v>
      </c>
      <c r="I107" s="11">
        <f t="shared" si="42"/>
        <v>118</v>
      </c>
    </row>
    <row r="108" spans="1:9" x14ac:dyDescent="0.3">
      <c r="A108" s="2" t="s">
        <v>65</v>
      </c>
      <c r="B108" s="7">
        <v>0.04</v>
      </c>
      <c r="C108" s="7">
        <v>0.02</v>
      </c>
      <c r="D108" s="7">
        <v>0.12</v>
      </c>
      <c r="E108" s="4" t="s">
        <v>66</v>
      </c>
      <c r="F108" s="11">
        <f t="shared" si="13"/>
        <v>4</v>
      </c>
      <c r="G108" s="11">
        <f t="shared" si="6"/>
        <v>2</v>
      </c>
      <c r="H108" s="11">
        <f t="shared" si="7"/>
        <v>12</v>
      </c>
      <c r="I108" s="11">
        <f t="shared" si="42"/>
        <v>240</v>
      </c>
    </row>
    <row r="109" spans="1:9" x14ac:dyDescent="0.3">
      <c r="A109" s="2" t="s">
        <v>67</v>
      </c>
      <c r="B109" s="7" t="s">
        <v>62</v>
      </c>
      <c r="C109" s="7" t="s">
        <v>62</v>
      </c>
      <c r="D109" s="7" t="s">
        <v>62</v>
      </c>
      <c r="E109" s="4" t="s">
        <v>62</v>
      </c>
      <c r="F109" s="11" t="str">
        <f t="shared" si="13"/>
        <v>-</v>
      </c>
      <c r="G109" s="11" t="str">
        <f t="shared" si="6"/>
        <v>-</v>
      </c>
      <c r="H109" s="11" t="str">
        <f t="shared" si="7"/>
        <v>-</v>
      </c>
      <c r="I109" s="11" t="str">
        <f t="shared" si="42"/>
        <v>-</v>
      </c>
    </row>
    <row r="110" spans="1:9" x14ac:dyDescent="0.3">
      <c r="A110" s="2" t="s">
        <v>68</v>
      </c>
      <c r="B110" s="7" t="s">
        <v>62</v>
      </c>
      <c r="C110" s="7" t="s">
        <v>62</v>
      </c>
      <c r="D110" s="7" t="s">
        <v>62</v>
      </c>
      <c r="E110" s="4" t="s">
        <v>62</v>
      </c>
      <c r="F110" s="11" t="str">
        <f t="shared" si="13"/>
        <v>-</v>
      </c>
      <c r="G110" s="11" t="str">
        <f t="shared" si="6"/>
        <v>-</v>
      </c>
      <c r="H110" s="11" t="str">
        <f t="shared" si="7"/>
        <v>-</v>
      </c>
      <c r="I110" s="11" t="str">
        <f t="shared" si="42"/>
        <v>-</v>
      </c>
    </row>
    <row r="111" spans="1:9" x14ac:dyDescent="0.3">
      <c r="A111" s="2" t="s">
        <v>69</v>
      </c>
      <c r="B111" s="7" t="s">
        <v>62</v>
      </c>
      <c r="C111" s="7" t="s">
        <v>62</v>
      </c>
      <c r="D111" s="7" t="s">
        <v>62</v>
      </c>
      <c r="E111" s="4" t="s">
        <v>62</v>
      </c>
      <c r="F111" s="11" t="str">
        <f t="shared" si="13"/>
        <v>-</v>
      </c>
      <c r="G111" s="11" t="str">
        <f t="shared" si="6"/>
        <v>-</v>
      </c>
      <c r="H111" s="11" t="str">
        <f t="shared" si="7"/>
        <v>-</v>
      </c>
      <c r="I111" s="11" t="str">
        <f t="shared" si="42"/>
        <v>-</v>
      </c>
    </row>
    <row r="112" spans="1:9" x14ac:dyDescent="0.3">
      <c r="A112" s="2" t="s">
        <v>70</v>
      </c>
      <c r="B112" s="7">
        <v>0.13</v>
      </c>
      <c r="C112" s="7">
        <v>0.05</v>
      </c>
      <c r="D112" s="7">
        <v>0.05</v>
      </c>
      <c r="E112" s="4" t="s">
        <v>46</v>
      </c>
      <c r="F112" s="11">
        <f t="shared" si="13"/>
        <v>13</v>
      </c>
      <c r="G112" s="11">
        <f t="shared" si="6"/>
        <v>5</v>
      </c>
      <c r="H112" s="11">
        <f t="shared" si="7"/>
        <v>5</v>
      </c>
      <c r="I112" s="11">
        <f t="shared" si="42"/>
        <v>160</v>
      </c>
    </row>
    <row r="113" spans="1:9" x14ac:dyDescent="0.3">
      <c r="A113" s="2" t="s">
        <v>70</v>
      </c>
      <c r="B113" s="7">
        <v>0.13</v>
      </c>
      <c r="C113" s="7">
        <v>0.05</v>
      </c>
      <c r="D113" s="7">
        <v>0.05</v>
      </c>
      <c r="E113" s="4" t="s">
        <v>46</v>
      </c>
      <c r="F113" s="11">
        <f t="shared" ref="F113" si="167">IFERROR(B113*100,"-")</f>
        <v>13</v>
      </c>
      <c r="G113" s="11">
        <f t="shared" ref="G113" si="168">IFERROR(C113*100,"-")</f>
        <v>5</v>
      </c>
      <c r="H113" s="11">
        <f t="shared" ref="H113" si="169">IFERROR(D113*100,"-")</f>
        <v>5</v>
      </c>
      <c r="I113" s="11">
        <f t="shared" ref="I113" si="170">IFERROR(E113*1000,"-")</f>
        <v>160</v>
      </c>
    </row>
    <row r="114" spans="1:9" x14ac:dyDescent="0.3">
      <c r="A114" s="2" t="s">
        <v>71</v>
      </c>
      <c r="B114" s="7">
        <v>0.13</v>
      </c>
      <c r="C114" s="7">
        <v>0.05</v>
      </c>
      <c r="D114" s="7">
        <v>0.05</v>
      </c>
      <c r="E114" s="4" t="s">
        <v>46</v>
      </c>
      <c r="F114" s="11">
        <f t="shared" si="13"/>
        <v>13</v>
      </c>
      <c r="G114" s="11">
        <f t="shared" si="6"/>
        <v>5</v>
      </c>
      <c r="H114" s="11">
        <f t="shared" si="7"/>
        <v>5</v>
      </c>
      <c r="I114" s="11">
        <f t="shared" si="42"/>
        <v>160</v>
      </c>
    </row>
    <row r="115" spans="1:9" x14ac:dyDescent="0.3">
      <c r="A115" s="2" t="s">
        <v>252</v>
      </c>
      <c r="B115" s="8">
        <v>0.6</v>
      </c>
      <c r="C115" s="8">
        <v>0.2</v>
      </c>
      <c r="D115" s="8">
        <v>0.6</v>
      </c>
      <c r="E115" s="5" t="s">
        <v>30</v>
      </c>
      <c r="F115" s="5">
        <f t="shared" si="13"/>
        <v>60</v>
      </c>
      <c r="G115" s="5" t="s">
        <v>182</v>
      </c>
      <c r="H115" s="5">
        <f t="shared" si="7"/>
        <v>60</v>
      </c>
      <c r="I115" s="5" t="s">
        <v>187</v>
      </c>
    </row>
    <row r="116" spans="1:9" x14ac:dyDescent="0.3">
      <c r="A116" s="2" t="s">
        <v>73</v>
      </c>
      <c r="B116" s="7">
        <v>0.02</v>
      </c>
      <c r="C116" s="7">
        <v>0.13</v>
      </c>
      <c r="D116" s="7">
        <v>0.1</v>
      </c>
      <c r="E116" s="4" t="s">
        <v>48</v>
      </c>
      <c r="F116" s="11">
        <f t="shared" si="13"/>
        <v>2</v>
      </c>
      <c r="G116" s="11">
        <f t="shared" si="6"/>
        <v>13</v>
      </c>
      <c r="H116" s="11">
        <f t="shared" si="7"/>
        <v>10</v>
      </c>
      <c r="I116" s="11">
        <f t="shared" si="42"/>
        <v>100</v>
      </c>
    </row>
    <row r="117" spans="1:9" x14ac:dyDescent="0.3">
      <c r="A117" s="2" t="s">
        <v>74</v>
      </c>
      <c r="B117" s="7">
        <v>0.09</v>
      </c>
      <c r="C117" s="7">
        <v>0.27</v>
      </c>
      <c r="D117" s="7">
        <v>0.26</v>
      </c>
      <c r="E117" s="4" t="s">
        <v>27</v>
      </c>
      <c r="F117" s="11">
        <f t="shared" si="13"/>
        <v>9</v>
      </c>
      <c r="G117" s="11">
        <f t="shared" si="6"/>
        <v>27</v>
      </c>
      <c r="H117" s="11">
        <f t="shared" si="7"/>
        <v>26</v>
      </c>
      <c r="I117" s="11">
        <f t="shared" si="42"/>
        <v>200</v>
      </c>
    </row>
    <row r="118" spans="1:9" x14ac:dyDescent="0.3">
      <c r="A118" s="2" t="s">
        <v>75</v>
      </c>
      <c r="B118" s="7">
        <v>0.09</v>
      </c>
      <c r="C118" s="7">
        <v>0.27</v>
      </c>
      <c r="D118" s="7">
        <v>0.26</v>
      </c>
      <c r="E118" s="4" t="s">
        <v>27</v>
      </c>
      <c r="F118" s="11">
        <f t="shared" ref="F118:F119" si="171">IFERROR(B118*100,"-")</f>
        <v>9</v>
      </c>
      <c r="G118" s="11">
        <f t="shared" ref="G118:G119" si="172">IFERROR(C118*100,"-")</f>
        <v>27</v>
      </c>
      <c r="H118" s="11">
        <f t="shared" ref="H118:H119" si="173">IFERROR(D118*100,"-")</f>
        <v>26</v>
      </c>
      <c r="I118" s="11">
        <f t="shared" ref="I118:I119" si="174">IFERROR(E118*1000,"-")</f>
        <v>200</v>
      </c>
    </row>
    <row r="119" spans="1:9" x14ac:dyDescent="0.3">
      <c r="A119" s="34" t="s">
        <v>185</v>
      </c>
      <c r="B119" s="7">
        <v>0.28999999999999998</v>
      </c>
      <c r="C119" s="7">
        <v>0.08</v>
      </c>
      <c r="D119" s="7">
        <v>0.08</v>
      </c>
      <c r="E119" s="4" t="s">
        <v>77</v>
      </c>
      <c r="F119" s="11">
        <f t="shared" si="171"/>
        <v>28.999999999999996</v>
      </c>
      <c r="G119" s="11">
        <f t="shared" si="172"/>
        <v>8</v>
      </c>
      <c r="H119" s="11">
        <f t="shared" si="173"/>
        <v>8</v>
      </c>
      <c r="I119" s="11">
        <f t="shared" si="174"/>
        <v>392</v>
      </c>
    </row>
    <row r="120" spans="1:9" x14ac:dyDescent="0.3">
      <c r="A120" s="2" t="s">
        <v>76</v>
      </c>
      <c r="B120" s="7">
        <v>0.28999999999999998</v>
      </c>
      <c r="C120" s="7">
        <v>0.08</v>
      </c>
      <c r="D120" s="7">
        <v>0.08</v>
      </c>
      <c r="E120" s="4" t="s">
        <v>77</v>
      </c>
      <c r="F120" s="11">
        <f t="shared" si="13"/>
        <v>28.999999999999996</v>
      </c>
      <c r="G120" s="11">
        <f t="shared" si="6"/>
        <v>8</v>
      </c>
      <c r="H120" s="11">
        <f t="shared" si="7"/>
        <v>8</v>
      </c>
      <c r="I120" s="11">
        <f t="shared" si="42"/>
        <v>392</v>
      </c>
    </row>
    <row r="121" spans="1:9" x14ac:dyDescent="0.3">
      <c r="A121" s="2" t="s">
        <v>186</v>
      </c>
      <c r="B121" s="7">
        <v>0.12</v>
      </c>
      <c r="C121" s="7">
        <v>0.88</v>
      </c>
      <c r="D121" s="7"/>
      <c r="E121" s="4"/>
      <c r="F121" s="11">
        <v>11.5</v>
      </c>
      <c r="G121" s="11">
        <v>8.8000000000000007</v>
      </c>
      <c r="H121" s="11">
        <f>G121</f>
        <v>8.8000000000000007</v>
      </c>
      <c r="I121" s="11">
        <v>193</v>
      </c>
    </row>
    <row r="122" spans="1:9" x14ac:dyDescent="0.3">
      <c r="A122" s="2" t="s">
        <v>250</v>
      </c>
      <c r="B122" s="7">
        <v>0.12</v>
      </c>
      <c r="C122" s="7">
        <v>0.88</v>
      </c>
      <c r="D122" s="7"/>
      <c r="E122" s="4"/>
      <c r="F122" s="11">
        <v>11.5</v>
      </c>
      <c r="G122" s="11">
        <v>8.8000000000000007</v>
      </c>
      <c r="H122" s="11">
        <f>G122</f>
        <v>8.8000000000000007</v>
      </c>
      <c r="I122" s="11">
        <v>193</v>
      </c>
    </row>
    <row r="123" spans="1:9" x14ac:dyDescent="0.3">
      <c r="A123" s="2" t="s">
        <v>79</v>
      </c>
      <c r="B123" s="7">
        <v>0.06</v>
      </c>
      <c r="C123" s="7">
        <v>0.26</v>
      </c>
      <c r="D123" s="7">
        <v>0.1</v>
      </c>
      <c r="E123" s="4" t="s">
        <v>80</v>
      </c>
      <c r="F123" s="11">
        <f t="shared" ref="F123" si="175">IFERROR(B123*100,"-")</f>
        <v>6</v>
      </c>
      <c r="G123" s="11">
        <f t="shared" ref="G123" si="176">IFERROR(C123*100,"-")</f>
        <v>26</v>
      </c>
      <c r="H123" s="11">
        <f t="shared" ref="H123" si="177">IFERROR(D123*100,"-")</f>
        <v>10</v>
      </c>
      <c r="I123" s="11">
        <f t="shared" ref="I123" si="178">IFERROR(E123*1000,"-")</f>
        <v>239</v>
      </c>
    </row>
    <row r="124" spans="1:9" x14ac:dyDescent="0.3">
      <c r="A124" s="2" t="s">
        <v>81</v>
      </c>
      <c r="B124" s="7">
        <v>0.06</v>
      </c>
      <c r="C124" s="7">
        <v>0.26</v>
      </c>
      <c r="D124" s="7">
        <v>0.1</v>
      </c>
      <c r="E124" s="4" t="s">
        <v>80</v>
      </c>
      <c r="F124" s="11">
        <f t="shared" si="13"/>
        <v>6</v>
      </c>
      <c r="G124" s="11">
        <f t="shared" si="6"/>
        <v>26</v>
      </c>
      <c r="H124" s="11">
        <f t="shared" si="7"/>
        <v>10</v>
      </c>
      <c r="I124" s="11">
        <f t="shared" si="42"/>
        <v>239</v>
      </c>
    </row>
    <row r="125" spans="1:9" x14ac:dyDescent="0.3">
      <c r="A125" s="2" t="s">
        <v>126</v>
      </c>
      <c r="B125" s="7">
        <v>0.06</v>
      </c>
      <c r="C125" s="7">
        <v>0.26</v>
      </c>
      <c r="D125" s="7">
        <v>0.1</v>
      </c>
      <c r="E125" s="4" t="s">
        <v>80</v>
      </c>
      <c r="F125" s="11">
        <f t="shared" ref="F125" si="179">IFERROR(B125*100,"-")</f>
        <v>6</v>
      </c>
      <c r="G125" s="11">
        <f t="shared" ref="G125" si="180">IFERROR(C125*100,"-")</f>
        <v>26</v>
      </c>
      <c r="H125" s="11">
        <f t="shared" ref="H125" si="181">IFERROR(D125*100,"-")</f>
        <v>10</v>
      </c>
      <c r="I125" s="11">
        <f t="shared" ref="I125" si="182">IFERROR(E125*1000,"-")</f>
        <v>239</v>
      </c>
    </row>
    <row r="126" spans="1:9" x14ac:dyDescent="0.3">
      <c r="A126" s="2" t="s">
        <v>112</v>
      </c>
      <c r="B126" s="7">
        <v>0.06</v>
      </c>
      <c r="C126" s="7">
        <v>0.26</v>
      </c>
      <c r="D126" s="7">
        <v>0.1</v>
      </c>
      <c r="E126" s="4" t="s">
        <v>80</v>
      </c>
      <c r="F126" s="11">
        <f t="shared" ref="F126" si="183">IFERROR(B126*100,"-")</f>
        <v>6</v>
      </c>
      <c r="G126" s="11">
        <f t="shared" ref="G126" si="184">IFERROR(C126*100,"-")</f>
        <v>26</v>
      </c>
      <c r="H126" s="11">
        <f t="shared" ref="H126" si="185">IFERROR(D126*100,"-")</f>
        <v>10</v>
      </c>
      <c r="I126" s="11">
        <f t="shared" ref="I126" si="186">IFERROR(E126*1000,"-")</f>
        <v>239</v>
      </c>
    </row>
    <row r="127" spans="1:9" x14ac:dyDescent="0.3">
      <c r="A127" s="2" t="s">
        <v>141</v>
      </c>
      <c r="B127" s="7">
        <v>0.06</v>
      </c>
      <c r="C127" s="7">
        <v>0.26</v>
      </c>
      <c r="D127" s="7">
        <v>0.1</v>
      </c>
      <c r="E127" s="4" t="s">
        <v>80</v>
      </c>
      <c r="F127" s="11">
        <f t="shared" ref="F127:F129" si="187">IFERROR(B127*100,"-")</f>
        <v>6</v>
      </c>
      <c r="G127" s="11">
        <f t="shared" ref="G127:G129" si="188">IFERROR(C127*100,"-")</f>
        <v>26</v>
      </c>
      <c r="H127" s="11">
        <f t="shared" ref="H127:H129" si="189">IFERROR(D127*100,"-")</f>
        <v>10</v>
      </c>
      <c r="I127" s="11">
        <f t="shared" ref="I127:I129" si="190">IFERROR(E127*1000,"-")</f>
        <v>239</v>
      </c>
    </row>
    <row r="128" spans="1:9" x14ac:dyDescent="0.3">
      <c r="A128" s="2" t="s">
        <v>178</v>
      </c>
      <c r="B128" s="7">
        <v>0.11</v>
      </c>
      <c r="C128" s="7">
        <v>0.42</v>
      </c>
      <c r="D128" s="7">
        <v>0.34</v>
      </c>
      <c r="E128" s="4" t="s">
        <v>60</v>
      </c>
      <c r="F128" s="11">
        <f t="shared" si="187"/>
        <v>11</v>
      </c>
      <c r="G128" s="11">
        <f t="shared" si="188"/>
        <v>42</v>
      </c>
      <c r="H128" s="11">
        <f t="shared" si="189"/>
        <v>34</v>
      </c>
      <c r="I128" s="11">
        <f t="shared" si="190"/>
        <v>110</v>
      </c>
    </row>
    <row r="129" spans="1:9" x14ac:dyDescent="0.3">
      <c r="A129" s="2" t="s">
        <v>209</v>
      </c>
      <c r="B129" s="7">
        <v>0.11</v>
      </c>
      <c r="C129" s="7">
        <v>0.42</v>
      </c>
      <c r="D129" s="7">
        <v>0.34</v>
      </c>
      <c r="E129" s="4" t="s">
        <v>60</v>
      </c>
      <c r="F129" s="11">
        <f t="shared" si="187"/>
        <v>11</v>
      </c>
      <c r="G129" s="11">
        <f t="shared" si="188"/>
        <v>42</v>
      </c>
      <c r="H129" s="11">
        <f t="shared" si="189"/>
        <v>34</v>
      </c>
      <c r="I129" s="11">
        <f t="shared" si="190"/>
        <v>110</v>
      </c>
    </row>
    <row r="130" spans="1:9" x14ac:dyDescent="0.3">
      <c r="A130" s="2" t="s">
        <v>82</v>
      </c>
      <c r="B130" s="7">
        <v>0.11</v>
      </c>
      <c r="C130" s="7">
        <v>0.42</v>
      </c>
      <c r="D130" s="7">
        <v>0.34</v>
      </c>
      <c r="E130" s="4" t="s">
        <v>60</v>
      </c>
      <c r="F130" s="11">
        <f t="shared" si="13"/>
        <v>11</v>
      </c>
      <c r="G130" s="11">
        <f t="shared" si="6"/>
        <v>42</v>
      </c>
      <c r="H130" s="11">
        <f t="shared" si="7"/>
        <v>34</v>
      </c>
      <c r="I130" s="11">
        <f t="shared" si="42"/>
        <v>110</v>
      </c>
    </row>
    <row r="131" spans="1:9" x14ac:dyDescent="0.3">
      <c r="A131" s="2" t="s">
        <v>83</v>
      </c>
      <c r="B131" s="7">
        <v>0.02</v>
      </c>
      <c r="C131" s="7">
        <v>0.05</v>
      </c>
      <c r="D131" s="7">
        <v>0.08</v>
      </c>
      <c r="E131" s="4" t="s">
        <v>84</v>
      </c>
      <c r="F131" s="11">
        <f t="shared" si="13"/>
        <v>2</v>
      </c>
      <c r="G131" s="11">
        <f t="shared" si="6"/>
        <v>5</v>
      </c>
      <c r="H131" s="11">
        <f t="shared" si="7"/>
        <v>8</v>
      </c>
      <c r="I131" s="11">
        <f t="shared" si="42"/>
        <v>890</v>
      </c>
    </row>
    <row r="132" spans="1:9" x14ac:dyDescent="0.3">
      <c r="A132" s="2" t="s">
        <v>85</v>
      </c>
      <c r="B132" s="7">
        <v>0.03</v>
      </c>
      <c r="C132" s="7">
        <v>0.25</v>
      </c>
      <c r="D132" s="7">
        <v>0.25</v>
      </c>
      <c r="E132" s="4" t="s">
        <v>48</v>
      </c>
      <c r="F132" s="11">
        <f t="shared" si="13"/>
        <v>3</v>
      </c>
      <c r="G132" s="11">
        <f t="shared" si="6"/>
        <v>25</v>
      </c>
      <c r="H132" s="11">
        <f t="shared" si="7"/>
        <v>25</v>
      </c>
      <c r="I132" s="11">
        <f t="shared" si="42"/>
        <v>100</v>
      </c>
    </row>
    <row r="133" spans="1:9" x14ac:dyDescent="0.3">
      <c r="A133" s="2" t="s">
        <v>260</v>
      </c>
      <c r="B133" s="7">
        <v>0.03</v>
      </c>
      <c r="C133" s="7">
        <v>0.25</v>
      </c>
      <c r="D133" s="7">
        <v>0.25</v>
      </c>
      <c r="E133" s="4" t="s">
        <v>48</v>
      </c>
      <c r="F133" s="11">
        <f t="shared" si="13"/>
        <v>3</v>
      </c>
      <c r="G133" s="11">
        <f t="shared" si="6"/>
        <v>25</v>
      </c>
      <c r="H133" s="11">
        <f t="shared" si="7"/>
        <v>25</v>
      </c>
      <c r="I133" s="11">
        <f t="shared" si="42"/>
        <v>100</v>
      </c>
    </row>
    <row r="134" spans="1:9" x14ac:dyDescent="0.3">
      <c r="A134" s="2" t="s">
        <v>261</v>
      </c>
      <c r="B134" s="7">
        <v>0.03</v>
      </c>
      <c r="C134" s="7">
        <v>0.25</v>
      </c>
      <c r="D134" s="7">
        <v>0.25</v>
      </c>
      <c r="E134" s="4" t="s">
        <v>48</v>
      </c>
      <c r="F134" s="11">
        <f t="shared" ref="F134" si="191">IFERROR(B134*100,"-")</f>
        <v>3</v>
      </c>
      <c r="G134" s="11">
        <f t="shared" ref="G134" si="192">IFERROR(C134*100,"-")</f>
        <v>25</v>
      </c>
      <c r="H134" s="11">
        <f t="shared" ref="H134" si="193">IFERROR(D134*100,"-")</f>
        <v>25</v>
      </c>
      <c r="I134" s="11">
        <f t="shared" ref="I134" si="194">IFERROR(E134*1000,"-")</f>
        <v>100</v>
      </c>
    </row>
    <row r="135" spans="1:9" x14ac:dyDescent="0.3">
      <c r="A135" s="2" t="s">
        <v>259</v>
      </c>
      <c r="B135" s="7">
        <v>0.03</v>
      </c>
      <c r="C135" s="7">
        <v>0.25</v>
      </c>
      <c r="D135" s="7">
        <v>0.25</v>
      </c>
      <c r="E135" s="4" t="s">
        <v>48</v>
      </c>
      <c r="F135" s="11">
        <f t="shared" si="13"/>
        <v>3</v>
      </c>
      <c r="G135" s="11">
        <f t="shared" si="6"/>
        <v>25</v>
      </c>
      <c r="H135" s="11">
        <f t="shared" si="7"/>
        <v>25</v>
      </c>
      <c r="I135" s="11">
        <f t="shared" si="42"/>
        <v>100</v>
      </c>
    </row>
    <row r="136" spans="1:9" x14ac:dyDescent="0.3">
      <c r="A136" s="2" t="s">
        <v>119</v>
      </c>
      <c r="B136" s="7">
        <v>0.03</v>
      </c>
      <c r="C136" s="7">
        <v>0.25</v>
      </c>
      <c r="D136" s="7">
        <v>0.25</v>
      </c>
      <c r="E136" s="4" t="s">
        <v>48</v>
      </c>
      <c r="F136" s="11">
        <f t="shared" ref="F136:F137" si="195">IFERROR(B136*100,"-")</f>
        <v>3</v>
      </c>
      <c r="G136" s="11">
        <f t="shared" ref="G136:G137" si="196">IFERROR(C136*100,"-")</f>
        <v>25</v>
      </c>
      <c r="H136" s="11">
        <f t="shared" ref="H136:H137" si="197">IFERROR(D136*100,"-")</f>
        <v>25</v>
      </c>
      <c r="I136" s="11">
        <f t="shared" ref="I136:I137" si="198">IFERROR(E136*1000,"-")</f>
        <v>100</v>
      </c>
    </row>
    <row r="137" spans="1:9" x14ac:dyDescent="0.3">
      <c r="A137" s="2" t="s">
        <v>158</v>
      </c>
      <c r="B137" s="7">
        <v>0.03</v>
      </c>
      <c r="C137" s="7">
        <v>0.15</v>
      </c>
      <c r="D137" s="7">
        <v>0.3</v>
      </c>
      <c r="E137" s="4" t="s">
        <v>86</v>
      </c>
      <c r="F137" s="11">
        <f t="shared" si="195"/>
        <v>3</v>
      </c>
      <c r="G137" s="11">
        <f t="shared" si="196"/>
        <v>15</v>
      </c>
      <c r="H137" s="11">
        <f t="shared" si="197"/>
        <v>30</v>
      </c>
      <c r="I137" s="11">
        <f t="shared" si="198"/>
        <v>800</v>
      </c>
    </row>
    <row r="138" spans="1:9" x14ac:dyDescent="0.3">
      <c r="A138" s="2" t="s">
        <v>160</v>
      </c>
      <c r="B138" s="7">
        <v>0.03</v>
      </c>
      <c r="C138" s="7">
        <v>0.15</v>
      </c>
      <c r="D138" s="7">
        <v>0.3</v>
      </c>
      <c r="E138" s="4" t="s">
        <v>86</v>
      </c>
      <c r="F138" s="11">
        <f t="shared" si="13"/>
        <v>3</v>
      </c>
      <c r="G138" s="11">
        <f t="shared" si="6"/>
        <v>15</v>
      </c>
      <c r="H138" s="11">
        <f t="shared" si="7"/>
        <v>30</v>
      </c>
      <c r="I138" s="11">
        <f t="shared" si="42"/>
        <v>800</v>
      </c>
    </row>
    <row r="139" spans="1:9" x14ac:dyDescent="0.3">
      <c r="A139" s="2" t="s">
        <v>87</v>
      </c>
      <c r="B139" s="7">
        <v>0.01</v>
      </c>
      <c r="C139" s="7">
        <v>0.1</v>
      </c>
      <c r="D139" s="7">
        <v>0.3</v>
      </c>
      <c r="E139" s="4">
        <v>0.02</v>
      </c>
      <c r="F139" s="11">
        <f t="shared" si="13"/>
        <v>1</v>
      </c>
      <c r="G139" s="11">
        <f t="shared" si="6"/>
        <v>10</v>
      </c>
      <c r="H139" s="11">
        <f t="shared" si="7"/>
        <v>30</v>
      </c>
      <c r="I139" s="11">
        <f t="shared" si="42"/>
        <v>20</v>
      </c>
    </row>
    <row r="140" spans="1:9" x14ac:dyDescent="0.3">
      <c r="A140" s="2" t="s">
        <v>225</v>
      </c>
      <c r="B140" s="7">
        <v>0.01</v>
      </c>
      <c r="C140" s="7">
        <v>0.1</v>
      </c>
      <c r="D140" s="7">
        <v>0.3</v>
      </c>
      <c r="E140" s="4">
        <v>0.02</v>
      </c>
      <c r="F140" s="11">
        <f t="shared" si="13"/>
        <v>1</v>
      </c>
      <c r="G140" s="11">
        <f t="shared" si="6"/>
        <v>10</v>
      </c>
      <c r="H140" s="11">
        <f t="shared" si="7"/>
        <v>30</v>
      </c>
      <c r="I140" s="11">
        <f t="shared" si="42"/>
        <v>20</v>
      </c>
    </row>
    <row r="141" spans="1:9" x14ac:dyDescent="0.3">
      <c r="A141" s="2" t="s">
        <v>226</v>
      </c>
      <c r="B141" s="7">
        <v>0.01</v>
      </c>
      <c r="C141" s="7">
        <v>0.1</v>
      </c>
      <c r="D141" s="7">
        <v>0.3</v>
      </c>
      <c r="E141" s="4">
        <v>0.02</v>
      </c>
      <c r="F141" s="11">
        <f t="shared" ref="F141" si="199">IFERROR(B141*100,"-")</f>
        <v>1</v>
      </c>
      <c r="G141" s="11">
        <f t="shared" ref="G141" si="200">IFERROR(C141*100,"-")</f>
        <v>10</v>
      </c>
      <c r="H141" s="11">
        <f t="shared" ref="H141" si="201">IFERROR(D141*100,"-")</f>
        <v>30</v>
      </c>
      <c r="I141" s="11">
        <f t="shared" ref="I141" si="202">IFERROR(E141*1000,"-")</f>
        <v>20</v>
      </c>
    </row>
    <row r="142" spans="1:9" x14ac:dyDescent="0.3">
      <c r="A142" s="2" t="s">
        <v>152</v>
      </c>
      <c r="B142" s="7">
        <v>0.01</v>
      </c>
      <c r="C142" s="7">
        <v>0.1</v>
      </c>
      <c r="D142" s="7">
        <v>0.3</v>
      </c>
      <c r="E142" s="4">
        <v>0.02</v>
      </c>
      <c r="F142" s="11">
        <f t="shared" ref="F142" si="203">IFERROR(B142*100,"-")</f>
        <v>1</v>
      </c>
      <c r="G142" s="11">
        <f t="shared" ref="G142" si="204">IFERROR(C142*100,"-")</f>
        <v>10</v>
      </c>
      <c r="H142" s="11">
        <f t="shared" ref="H142" si="205">IFERROR(D142*100,"-")</f>
        <v>30</v>
      </c>
      <c r="I142" s="11">
        <f t="shared" ref="I142" si="206">IFERROR(E142*1000,"-")</f>
        <v>20</v>
      </c>
    </row>
    <row r="143" spans="1:9" x14ac:dyDescent="0.3">
      <c r="A143" s="2" t="s">
        <v>88</v>
      </c>
      <c r="B143" s="7">
        <v>0.22</v>
      </c>
      <c r="C143" s="7">
        <v>7.0000000000000007E-2</v>
      </c>
      <c r="D143" s="7">
        <v>0.21</v>
      </c>
      <c r="E143" s="4" t="s">
        <v>16</v>
      </c>
      <c r="F143" s="11">
        <f t="shared" si="13"/>
        <v>22</v>
      </c>
      <c r="G143" s="11">
        <f t="shared" si="6"/>
        <v>7.0000000000000009</v>
      </c>
      <c r="H143" s="11">
        <f t="shared" si="7"/>
        <v>21</v>
      </c>
      <c r="I143" s="11">
        <f t="shared" si="42"/>
        <v>900</v>
      </c>
    </row>
    <row r="144" spans="1:9" x14ac:dyDescent="0.3">
      <c r="A144" s="2" t="s">
        <v>89</v>
      </c>
      <c r="B144" s="7">
        <v>0.02</v>
      </c>
      <c r="C144" s="7">
        <v>0.13</v>
      </c>
      <c r="D144" s="7">
        <v>0.1</v>
      </c>
      <c r="E144" s="4" t="s">
        <v>48</v>
      </c>
      <c r="F144" s="11">
        <f>IFERROR(B144*100,"-")</f>
        <v>2</v>
      </c>
      <c r="G144" s="11">
        <f t="shared" si="6"/>
        <v>13</v>
      </c>
      <c r="H144" s="11">
        <f t="shared" si="7"/>
        <v>10</v>
      </c>
      <c r="I144" s="11">
        <f t="shared" si="42"/>
        <v>100</v>
      </c>
    </row>
    <row r="145" spans="1:9" x14ac:dyDescent="0.3">
      <c r="A145" s="2" t="s">
        <v>90</v>
      </c>
      <c r="B145" s="13">
        <v>0.06</v>
      </c>
      <c r="C145" s="13">
        <v>0.39</v>
      </c>
      <c r="D145" s="13">
        <v>0.48</v>
      </c>
      <c r="E145" s="14" t="s">
        <v>30</v>
      </c>
      <c r="F145" s="11">
        <f t="shared" si="13"/>
        <v>6</v>
      </c>
      <c r="G145" s="11">
        <f t="shared" si="6"/>
        <v>39</v>
      </c>
      <c r="H145" s="11">
        <f t="shared" si="7"/>
        <v>48</v>
      </c>
      <c r="I145" s="11">
        <f t="shared" si="42"/>
        <v>500</v>
      </c>
    </row>
    <row r="146" spans="1:9" x14ac:dyDescent="0.3">
      <c r="A146" s="2" t="s">
        <v>228</v>
      </c>
      <c r="B146" s="13">
        <v>0.06</v>
      </c>
      <c r="C146" s="13">
        <v>0.39</v>
      </c>
      <c r="D146" s="13">
        <v>0.48</v>
      </c>
      <c r="E146" s="14" t="s">
        <v>30</v>
      </c>
      <c r="F146" s="11">
        <f t="shared" ref="F146" si="207">IFERROR(B146*100,"-")</f>
        <v>6</v>
      </c>
      <c r="G146" s="11">
        <f t="shared" ref="G146" si="208">IFERROR(C146*100,"-")</f>
        <v>39</v>
      </c>
      <c r="H146" s="11">
        <f t="shared" ref="H146" si="209">IFERROR(D146*100,"-")</f>
        <v>48</v>
      </c>
      <c r="I146" s="11">
        <f t="shared" ref="I146" si="210">IFERROR(E146*1000,"-")</f>
        <v>500</v>
      </c>
    </row>
    <row r="147" spans="1:9" x14ac:dyDescent="0.3">
      <c r="A147" s="2" t="s">
        <v>91</v>
      </c>
      <c r="B147" s="13">
        <v>0.06</v>
      </c>
      <c r="C147" s="13">
        <v>0.39</v>
      </c>
      <c r="D147" s="13">
        <v>0.48</v>
      </c>
      <c r="E147" s="14" t="s">
        <v>30</v>
      </c>
      <c r="F147" s="11">
        <f t="shared" si="13"/>
        <v>6</v>
      </c>
      <c r="G147" s="11">
        <f t="shared" si="6"/>
        <v>39</v>
      </c>
      <c r="H147" s="11">
        <f t="shared" si="7"/>
        <v>48</v>
      </c>
      <c r="I147" s="11">
        <f t="shared" si="42"/>
        <v>500</v>
      </c>
    </row>
    <row r="148" spans="1:9" x14ac:dyDescent="0.3">
      <c r="A148" s="2" t="s">
        <v>92</v>
      </c>
      <c r="B148" s="7" t="s">
        <v>62</v>
      </c>
      <c r="C148" s="7" t="s">
        <v>62</v>
      </c>
      <c r="D148" s="7" t="s">
        <v>62</v>
      </c>
      <c r="E148" s="4" t="s">
        <v>62</v>
      </c>
      <c r="F148" s="11" t="str">
        <f t="shared" si="13"/>
        <v>-</v>
      </c>
      <c r="G148" s="11" t="str">
        <f t="shared" si="6"/>
        <v>-</v>
      </c>
      <c r="H148" s="11" t="str">
        <f t="shared" si="7"/>
        <v>-</v>
      </c>
      <c r="I148" s="11" t="str">
        <f t="shared" si="42"/>
        <v>-</v>
      </c>
    </row>
    <row r="149" spans="1:9" x14ac:dyDescent="0.3">
      <c r="A149" s="2" t="s">
        <v>93</v>
      </c>
      <c r="B149" s="7">
        <v>0.06</v>
      </c>
      <c r="C149" s="7">
        <v>0.39</v>
      </c>
      <c r="D149" s="7">
        <v>0.48</v>
      </c>
      <c r="E149" s="4" t="s">
        <v>30</v>
      </c>
      <c r="F149" s="11">
        <f t="shared" ref="F149" si="211">IFERROR(B149*100,"-")</f>
        <v>6</v>
      </c>
      <c r="G149" s="11">
        <f t="shared" ref="G149" si="212">IFERROR(C149*100,"-")</f>
        <v>39</v>
      </c>
      <c r="H149" s="11">
        <f t="shared" ref="H149" si="213">IFERROR(D149*100,"-")</f>
        <v>48</v>
      </c>
      <c r="I149" s="11">
        <f t="shared" ref="I149" si="214">IFERROR(E149*1000,"-")</f>
        <v>500</v>
      </c>
    </row>
    <row r="150" spans="1:9" x14ac:dyDescent="0.3">
      <c r="A150" s="2" t="s">
        <v>258</v>
      </c>
      <c r="B150" s="7">
        <v>0.06</v>
      </c>
      <c r="C150" s="7">
        <v>0.39</v>
      </c>
      <c r="D150" s="7">
        <v>0.48</v>
      </c>
      <c r="E150" s="4" t="s">
        <v>30</v>
      </c>
      <c r="F150" s="11">
        <f t="shared" si="13"/>
        <v>6</v>
      </c>
      <c r="G150" s="11">
        <f t="shared" si="6"/>
        <v>39</v>
      </c>
      <c r="H150" s="11">
        <f t="shared" si="7"/>
        <v>48</v>
      </c>
      <c r="I150" s="11">
        <f t="shared" si="42"/>
        <v>500</v>
      </c>
    </row>
    <row r="151" spans="1:9" x14ac:dyDescent="0.3">
      <c r="A151" s="30" t="s">
        <v>168</v>
      </c>
      <c r="B151" s="31"/>
      <c r="C151" s="31"/>
      <c r="D151" s="31"/>
      <c r="E151" s="32"/>
      <c r="F151" s="24">
        <v>1</v>
      </c>
      <c r="G151" s="24">
        <v>20</v>
      </c>
      <c r="H151" s="24">
        <v>22</v>
      </c>
      <c r="I151" s="24">
        <v>100</v>
      </c>
    </row>
    <row r="152" spans="1:9" x14ac:dyDescent="0.3">
      <c r="A152" s="30" t="s">
        <v>145</v>
      </c>
      <c r="B152" s="31"/>
      <c r="C152" s="31"/>
      <c r="D152" s="31"/>
      <c r="E152" s="32"/>
      <c r="F152" s="24">
        <v>1</v>
      </c>
      <c r="G152" s="24">
        <v>20</v>
      </c>
      <c r="H152" s="24">
        <v>22</v>
      </c>
      <c r="I152" s="24">
        <v>100</v>
      </c>
    </row>
    <row r="153" spans="1:9" x14ac:dyDescent="0.3">
      <c r="A153" s="30" t="s">
        <v>155</v>
      </c>
      <c r="B153" s="31"/>
      <c r="C153" s="31"/>
      <c r="D153" s="31"/>
      <c r="E153" s="32"/>
      <c r="F153" s="24">
        <v>1</v>
      </c>
      <c r="G153" s="24">
        <v>20</v>
      </c>
      <c r="H153" s="24">
        <v>22</v>
      </c>
      <c r="I153" s="24">
        <v>100</v>
      </c>
    </row>
    <row r="154" spans="1:9" x14ac:dyDescent="0.3">
      <c r="A154" s="2" t="s">
        <v>253</v>
      </c>
      <c r="B154" s="7">
        <v>0.02</v>
      </c>
      <c r="C154" s="7">
        <v>0.13</v>
      </c>
      <c r="D154" s="7">
        <v>0.1</v>
      </c>
      <c r="E154" s="4" t="s">
        <v>48</v>
      </c>
      <c r="F154" s="11">
        <f>IFERROR(B154*100,"-")</f>
        <v>2</v>
      </c>
      <c r="G154" s="11">
        <f t="shared" ref="G154" si="215">IFERROR(C154*100,"-")</f>
        <v>13</v>
      </c>
      <c r="H154" s="11">
        <f t="shared" ref="H154" si="216">IFERROR(D154*100,"-")</f>
        <v>10</v>
      </c>
      <c r="I154" s="11">
        <f t="shared" ref="I154" si="217">IFERROR(E154*1000,"-")</f>
        <v>100</v>
      </c>
    </row>
    <row r="155" spans="1:9" x14ac:dyDescent="0.3">
      <c r="A155" s="2" t="s">
        <v>221</v>
      </c>
      <c r="B155" s="7">
        <v>0.02</v>
      </c>
      <c r="C155" s="7">
        <v>0.13</v>
      </c>
      <c r="D155" s="7">
        <v>0.1</v>
      </c>
      <c r="E155" s="4" t="s">
        <v>48</v>
      </c>
      <c r="F155" s="11">
        <f>IFERROR(B155*100,"-")</f>
        <v>2</v>
      </c>
      <c r="G155" s="11">
        <f t="shared" ref="G155" si="218">IFERROR(C155*100,"-")</f>
        <v>13</v>
      </c>
      <c r="H155" s="11">
        <f t="shared" ref="H155" si="219">IFERROR(D155*100,"-")</f>
        <v>10</v>
      </c>
      <c r="I155" s="11">
        <f t="shared" ref="I155" si="220">IFERROR(E155*1000,"-")</f>
        <v>100</v>
      </c>
    </row>
    <row r="156" spans="1:9" x14ac:dyDescent="0.3">
      <c r="A156" s="2" t="s">
        <v>161</v>
      </c>
      <c r="B156" s="7">
        <v>0.02</v>
      </c>
      <c r="C156" s="7">
        <v>0.13</v>
      </c>
      <c r="D156" s="7">
        <v>0.1</v>
      </c>
      <c r="E156" s="4" t="s">
        <v>48</v>
      </c>
      <c r="F156" s="11">
        <f>IFERROR(B156*100,"-")</f>
        <v>2</v>
      </c>
      <c r="G156" s="11">
        <f t="shared" ref="G156" si="221">IFERROR(C156*100,"-")</f>
        <v>13</v>
      </c>
      <c r="H156" s="11">
        <f t="shared" ref="H156" si="222">IFERROR(D156*100,"-")</f>
        <v>10</v>
      </c>
      <c r="I156" s="11">
        <f t="shared" ref="I156" si="223">IFERROR(E156*1000,"-")</f>
        <v>100</v>
      </c>
    </row>
    <row r="157" spans="1:9" x14ac:dyDescent="0.3">
      <c r="A157" s="2" t="s">
        <v>95</v>
      </c>
      <c r="B157" s="7" t="s">
        <v>62</v>
      </c>
      <c r="C157" s="7" t="s">
        <v>62</v>
      </c>
      <c r="D157" s="7" t="s">
        <v>62</v>
      </c>
      <c r="E157" s="4" t="s">
        <v>62</v>
      </c>
      <c r="F157" s="11" t="str">
        <f t="shared" si="13"/>
        <v>-</v>
      </c>
      <c r="G157" s="11" t="str">
        <f t="shared" si="6"/>
        <v>-</v>
      </c>
      <c r="H157" s="11" t="str">
        <f t="shared" si="7"/>
        <v>-</v>
      </c>
      <c r="I157" s="11" t="str">
        <f t="shared" si="42"/>
        <v>-</v>
      </c>
    </row>
    <row r="158" spans="1:9" x14ac:dyDescent="0.3">
      <c r="A158" s="2" t="s">
        <v>96</v>
      </c>
      <c r="B158" s="7" t="s">
        <v>62</v>
      </c>
      <c r="C158" s="7" t="s">
        <v>62</v>
      </c>
      <c r="D158" s="7" t="s">
        <v>62</v>
      </c>
      <c r="E158" s="4" t="s">
        <v>62</v>
      </c>
      <c r="F158" s="11" t="str">
        <f t="shared" si="13"/>
        <v>-</v>
      </c>
      <c r="G158" s="11" t="str">
        <f t="shared" ref="G158:G176" si="224">IFERROR(C158*100,"-")</f>
        <v>-</v>
      </c>
      <c r="H158" s="11" t="str">
        <f t="shared" ref="H158:H176" si="225">IFERROR(D158*100,"-")</f>
        <v>-</v>
      </c>
      <c r="I158" s="11" t="str">
        <f t="shared" si="42"/>
        <v>-</v>
      </c>
    </row>
    <row r="159" spans="1:9" x14ac:dyDescent="0.3">
      <c r="A159" s="2" t="s">
        <v>97</v>
      </c>
      <c r="B159" s="7" t="s">
        <v>62</v>
      </c>
      <c r="C159" s="7" t="s">
        <v>62</v>
      </c>
      <c r="D159" s="7" t="s">
        <v>62</v>
      </c>
      <c r="E159" s="4" t="s">
        <v>62</v>
      </c>
      <c r="F159" s="11" t="str">
        <f t="shared" ref="F159:F176" si="226">IFERROR(B159*100,"-")</f>
        <v>-</v>
      </c>
      <c r="G159" s="11" t="str">
        <f t="shared" si="224"/>
        <v>-</v>
      </c>
      <c r="H159" s="11" t="str">
        <f t="shared" si="225"/>
        <v>-</v>
      </c>
      <c r="I159" s="11" t="str">
        <f t="shared" si="42"/>
        <v>-</v>
      </c>
    </row>
    <row r="160" spans="1:9" x14ac:dyDescent="0.3">
      <c r="A160" s="2" t="s">
        <v>98</v>
      </c>
      <c r="B160" s="7" t="s">
        <v>62</v>
      </c>
      <c r="C160" s="7" t="s">
        <v>62</v>
      </c>
      <c r="D160" s="7" t="s">
        <v>62</v>
      </c>
      <c r="E160" s="4" t="s">
        <v>62</v>
      </c>
      <c r="F160" s="11" t="str">
        <f t="shared" si="226"/>
        <v>-</v>
      </c>
      <c r="G160" s="11" t="str">
        <f t="shared" si="224"/>
        <v>-</v>
      </c>
      <c r="H160" s="11" t="str">
        <f t="shared" si="225"/>
        <v>-</v>
      </c>
      <c r="I160" s="11" t="str">
        <f t="shared" si="42"/>
        <v>-</v>
      </c>
    </row>
    <row r="161" spans="1:13" x14ac:dyDescent="0.3">
      <c r="A161" s="2" t="s">
        <v>99</v>
      </c>
      <c r="B161" s="7" t="s">
        <v>62</v>
      </c>
      <c r="C161" s="7" t="s">
        <v>62</v>
      </c>
      <c r="D161" s="7" t="s">
        <v>62</v>
      </c>
      <c r="E161" s="4" t="s">
        <v>62</v>
      </c>
      <c r="F161" s="11" t="str">
        <f t="shared" si="226"/>
        <v>-</v>
      </c>
      <c r="G161" s="11" t="str">
        <f t="shared" si="224"/>
        <v>-</v>
      </c>
      <c r="H161" s="11" t="str">
        <f t="shared" si="225"/>
        <v>-</v>
      </c>
      <c r="I161" s="11" t="str">
        <f t="shared" si="42"/>
        <v>-</v>
      </c>
    </row>
    <row r="162" spans="1:13" x14ac:dyDescent="0.3">
      <c r="A162" s="2" t="s">
        <v>100</v>
      </c>
      <c r="B162" s="7" t="s">
        <v>62</v>
      </c>
      <c r="C162" s="7" t="s">
        <v>62</v>
      </c>
      <c r="D162" s="7" t="s">
        <v>62</v>
      </c>
      <c r="E162" s="4" t="s">
        <v>62</v>
      </c>
      <c r="F162" s="11" t="str">
        <f t="shared" si="226"/>
        <v>-</v>
      </c>
      <c r="G162" s="11" t="str">
        <f t="shared" si="224"/>
        <v>-</v>
      </c>
      <c r="H162" s="11" t="str">
        <f t="shared" si="225"/>
        <v>-</v>
      </c>
      <c r="I162" s="11" t="str">
        <f t="shared" si="42"/>
        <v>-</v>
      </c>
      <c r="K162" t="s">
        <v>171</v>
      </c>
    </row>
    <row r="163" spans="1:13" x14ac:dyDescent="0.3">
      <c r="A163" s="30" t="s">
        <v>170</v>
      </c>
      <c r="B163" s="31">
        <v>0.8</v>
      </c>
      <c r="C163" s="31">
        <v>0.6</v>
      </c>
      <c r="D163" s="31">
        <v>0.7</v>
      </c>
      <c r="E163" s="32" t="s">
        <v>173</v>
      </c>
      <c r="F163" s="24">
        <f t="shared" ref="F163" si="227">IFERROR(B163*100,"-")</f>
        <v>80</v>
      </c>
      <c r="G163" s="24">
        <f t="shared" ref="G163" si="228">IFERROR(C163*100,"-")</f>
        <v>60</v>
      </c>
      <c r="H163" s="24">
        <f t="shared" ref="H163" si="229">IFERROR(D163*100,"-")</f>
        <v>70</v>
      </c>
      <c r="I163" s="24">
        <f t="shared" ref="I163" si="230">IFERROR(E163*1000,"-")</f>
        <v>2500</v>
      </c>
    </row>
    <row r="164" spans="1:13" x14ac:dyDescent="0.3">
      <c r="A164" s="2" t="s">
        <v>101</v>
      </c>
      <c r="B164" s="7" t="s">
        <v>62</v>
      </c>
      <c r="C164" s="7" t="s">
        <v>62</v>
      </c>
      <c r="D164" s="7" t="s">
        <v>62</v>
      </c>
      <c r="E164" s="4" t="s">
        <v>62</v>
      </c>
      <c r="F164" s="11" t="str">
        <f t="shared" si="226"/>
        <v>-</v>
      </c>
      <c r="G164" s="11" t="str">
        <f t="shared" si="224"/>
        <v>-</v>
      </c>
      <c r="H164" s="11" t="str">
        <f t="shared" si="225"/>
        <v>-</v>
      </c>
      <c r="I164" s="11" t="str">
        <f t="shared" si="42"/>
        <v>-</v>
      </c>
      <c r="M164">
        <f>35+65</f>
        <v>100</v>
      </c>
    </row>
    <row r="165" spans="1:13" x14ac:dyDescent="0.3">
      <c r="A165" s="2" t="s">
        <v>102</v>
      </c>
      <c r="B165" s="7">
        <v>0.14000000000000001</v>
      </c>
      <c r="C165" s="7">
        <v>0.38</v>
      </c>
      <c r="D165" s="7">
        <v>0.42</v>
      </c>
      <c r="E165" s="4" t="s">
        <v>48</v>
      </c>
      <c r="F165" s="11">
        <f t="shared" si="226"/>
        <v>14.000000000000002</v>
      </c>
      <c r="G165" s="11">
        <f t="shared" si="224"/>
        <v>38</v>
      </c>
      <c r="H165" s="11">
        <f t="shared" si="225"/>
        <v>42</v>
      </c>
      <c r="I165" s="11">
        <f t="shared" si="42"/>
        <v>100</v>
      </c>
    </row>
    <row r="166" spans="1:13" x14ac:dyDescent="0.3">
      <c r="A166" s="2" t="s">
        <v>103</v>
      </c>
      <c r="B166" s="7" t="s">
        <v>62</v>
      </c>
      <c r="C166" s="7" t="s">
        <v>62</v>
      </c>
      <c r="D166" s="7" t="s">
        <v>62</v>
      </c>
      <c r="E166" s="4" t="s">
        <v>62</v>
      </c>
      <c r="F166" s="11" t="str">
        <f t="shared" si="226"/>
        <v>-</v>
      </c>
      <c r="G166" s="11" t="str">
        <f t="shared" si="224"/>
        <v>-</v>
      </c>
      <c r="H166" s="11" t="str">
        <f t="shared" si="225"/>
        <v>-</v>
      </c>
      <c r="I166" s="11" t="str">
        <f t="shared" si="42"/>
        <v>-</v>
      </c>
    </row>
    <row r="167" spans="1:13" x14ac:dyDescent="0.3">
      <c r="A167" s="2" t="s">
        <v>104</v>
      </c>
      <c r="B167" s="7">
        <v>7.0000000000000007E-2</v>
      </c>
      <c r="C167" s="7">
        <v>0.14000000000000001</v>
      </c>
      <c r="D167" s="7">
        <v>0.4</v>
      </c>
      <c r="E167" s="4" t="s">
        <v>30</v>
      </c>
      <c r="F167" s="11">
        <f t="shared" si="226"/>
        <v>7.0000000000000009</v>
      </c>
      <c r="G167" s="11">
        <f t="shared" si="224"/>
        <v>14.000000000000002</v>
      </c>
      <c r="H167" s="11">
        <f t="shared" si="225"/>
        <v>40</v>
      </c>
      <c r="I167" s="11">
        <f t="shared" si="42"/>
        <v>500</v>
      </c>
    </row>
    <row r="168" spans="1:13" x14ac:dyDescent="0.3">
      <c r="A168" s="2" t="s">
        <v>105</v>
      </c>
      <c r="B168" s="7" t="s">
        <v>62</v>
      </c>
      <c r="C168" s="7" t="s">
        <v>62</v>
      </c>
      <c r="D168" s="7" t="s">
        <v>62</v>
      </c>
      <c r="E168" s="4" t="s">
        <v>62</v>
      </c>
      <c r="F168" s="11" t="str">
        <f t="shared" si="226"/>
        <v>-</v>
      </c>
      <c r="G168" s="11" t="str">
        <f t="shared" si="224"/>
        <v>-</v>
      </c>
      <c r="H168" s="11" t="str">
        <f t="shared" si="225"/>
        <v>-</v>
      </c>
      <c r="I168" s="11" t="str">
        <f t="shared" si="42"/>
        <v>-</v>
      </c>
    </row>
    <row r="169" spans="1:13" x14ac:dyDescent="0.3">
      <c r="A169" s="2" t="s">
        <v>106</v>
      </c>
      <c r="B169" s="7">
        <v>0.14000000000000001</v>
      </c>
      <c r="C169" s="7">
        <v>0.38</v>
      </c>
      <c r="D169" s="7">
        <v>0.42</v>
      </c>
      <c r="E169" s="4" t="s">
        <v>48</v>
      </c>
      <c r="F169" s="11">
        <v>14.000000000000002</v>
      </c>
      <c r="G169" s="11">
        <v>38</v>
      </c>
      <c r="H169" s="11">
        <v>42</v>
      </c>
      <c r="I169" s="11">
        <v>100</v>
      </c>
      <c r="J169">
        <v>14.000000000000002</v>
      </c>
      <c r="K169">
        <v>38</v>
      </c>
      <c r="L169">
        <v>42</v>
      </c>
      <c r="M169">
        <v>100</v>
      </c>
    </row>
    <row r="170" spans="1:13" x14ac:dyDescent="0.3">
      <c r="A170" s="2" t="s">
        <v>107</v>
      </c>
      <c r="B170" s="7">
        <v>0.01</v>
      </c>
      <c r="C170" s="7">
        <v>0.2</v>
      </c>
      <c r="D170" s="7">
        <v>0.22</v>
      </c>
      <c r="E170" s="4" t="s">
        <v>48</v>
      </c>
      <c r="F170" s="11">
        <f t="shared" ref="F170" si="231">IFERROR(B170*100,"-")</f>
        <v>1</v>
      </c>
      <c r="G170" s="11">
        <f t="shared" ref="G170" si="232">IFERROR(C170*100,"-")</f>
        <v>20</v>
      </c>
      <c r="H170" s="11">
        <f t="shared" ref="H170" si="233">IFERROR(D170*100,"-")</f>
        <v>22</v>
      </c>
      <c r="I170" s="11">
        <f t="shared" ref="I170" si="234">IFERROR(E170*1000,"-")</f>
        <v>100</v>
      </c>
    </row>
    <row r="171" spans="1:13" x14ac:dyDescent="0.3">
      <c r="A171" s="2" t="s">
        <v>262</v>
      </c>
      <c r="B171" s="7">
        <v>0.01</v>
      </c>
      <c r="C171" s="7">
        <v>0.2</v>
      </c>
      <c r="D171" s="7">
        <v>0.22</v>
      </c>
      <c r="E171" s="4" t="s">
        <v>48</v>
      </c>
      <c r="F171" s="11">
        <f t="shared" ref="F171" si="235">IFERROR(B171*100,"-")</f>
        <v>1</v>
      </c>
      <c r="G171" s="11">
        <f t="shared" ref="G171" si="236">IFERROR(C171*100,"-")</f>
        <v>20</v>
      </c>
      <c r="H171" s="11">
        <f t="shared" ref="H171" si="237">IFERROR(D171*100,"-")</f>
        <v>22</v>
      </c>
      <c r="I171" s="11">
        <f t="shared" ref="I171" si="238">IFERROR(E171*1000,"-")</f>
        <v>100</v>
      </c>
    </row>
    <row r="172" spans="1:13" x14ac:dyDescent="0.3">
      <c r="A172" s="2" t="s">
        <v>257</v>
      </c>
      <c r="B172" s="7">
        <v>0.01</v>
      </c>
      <c r="C172" s="7">
        <v>0.2</v>
      </c>
      <c r="D172" s="7">
        <v>0.22</v>
      </c>
      <c r="E172" s="4" t="s">
        <v>48</v>
      </c>
      <c r="F172" s="11">
        <f t="shared" si="226"/>
        <v>1</v>
      </c>
      <c r="G172" s="11">
        <f t="shared" si="224"/>
        <v>20</v>
      </c>
      <c r="H172" s="11">
        <f t="shared" si="225"/>
        <v>22</v>
      </c>
      <c r="I172" s="11">
        <f t="shared" ref="I172:I176" si="239">IFERROR(E172*1000,"-")</f>
        <v>100</v>
      </c>
    </row>
    <row r="173" spans="1:13" x14ac:dyDescent="0.3">
      <c r="A173" s="2" t="s">
        <v>108</v>
      </c>
      <c r="B173" s="7">
        <v>0.03</v>
      </c>
      <c r="C173" s="7">
        <v>0.23</v>
      </c>
      <c r="D173" s="7">
        <v>0.17</v>
      </c>
      <c r="E173" s="4" t="s">
        <v>27</v>
      </c>
      <c r="F173" s="11">
        <f t="shared" si="226"/>
        <v>3</v>
      </c>
      <c r="G173" s="11">
        <f t="shared" si="224"/>
        <v>23</v>
      </c>
      <c r="H173" s="11">
        <f t="shared" si="225"/>
        <v>17</v>
      </c>
      <c r="I173" s="11">
        <f t="shared" si="239"/>
        <v>200</v>
      </c>
    </row>
    <row r="174" spans="1:13" x14ac:dyDescent="0.3">
      <c r="A174" s="2" t="s">
        <v>109</v>
      </c>
      <c r="B174" s="7">
        <v>0.03</v>
      </c>
      <c r="C174" s="7">
        <v>0.23</v>
      </c>
      <c r="D174" s="7">
        <v>0.17</v>
      </c>
      <c r="E174" s="4" t="s">
        <v>27</v>
      </c>
      <c r="F174" s="11">
        <f t="shared" ref="F174" si="240">IFERROR(B174*100,"-")</f>
        <v>3</v>
      </c>
      <c r="G174" s="11">
        <f t="shared" ref="G174" si="241">IFERROR(C174*100,"-")</f>
        <v>23</v>
      </c>
      <c r="H174" s="11">
        <f t="shared" ref="H174" si="242">IFERROR(D174*100,"-")</f>
        <v>17</v>
      </c>
      <c r="I174" s="11">
        <f t="shared" ref="I174" si="243">IFERROR(E174*1000,"-")</f>
        <v>200</v>
      </c>
    </row>
    <row r="175" spans="1:13" x14ac:dyDescent="0.3">
      <c r="A175" s="2" t="s">
        <v>156</v>
      </c>
      <c r="B175" s="7">
        <v>0.03</v>
      </c>
      <c r="C175" s="7">
        <v>0.23</v>
      </c>
      <c r="D175" s="7">
        <v>0.17</v>
      </c>
      <c r="E175" s="4" t="s">
        <v>27</v>
      </c>
      <c r="F175" s="11">
        <f t="shared" ref="F175" si="244">IFERROR(B175*100,"-")</f>
        <v>3</v>
      </c>
      <c r="G175" s="11">
        <f t="shared" ref="G175" si="245">IFERROR(C175*100,"-")</f>
        <v>23</v>
      </c>
      <c r="H175" s="11">
        <f t="shared" ref="H175" si="246">IFERROR(D175*100,"-")</f>
        <v>17</v>
      </c>
      <c r="I175" s="11">
        <f t="shared" ref="I175" si="247">IFERROR(E175*1000,"-")</f>
        <v>200</v>
      </c>
    </row>
    <row r="176" spans="1:13" x14ac:dyDescent="0.3">
      <c r="A176" s="2" t="s">
        <v>110</v>
      </c>
      <c r="B176" s="7">
        <v>0.02</v>
      </c>
      <c r="C176" s="7">
        <v>0.27</v>
      </c>
      <c r="D176" s="7">
        <v>0.35</v>
      </c>
      <c r="E176" s="4" t="s">
        <v>35</v>
      </c>
      <c r="F176" s="11">
        <f t="shared" si="226"/>
        <v>2</v>
      </c>
      <c r="G176" s="11">
        <f t="shared" si="224"/>
        <v>27</v>
      </c>
      <c r="H176" s="11">
        <f t="shared" si="225"/>
        <v>35</v>
      </c>
      <c r="I176" s="11">
        <f t="shared" si="239"/>
        <v>300</v>
      </c>
    </row>
    <row r="177" spans="1:9" x14ac:dyDescent="0.3">
      <c r="A177" s="2" t="s">
        <v>143</v>
      </c>
      <c r="B177" s="7">
        <v>0.02</v>
      </c>
      <c r="C177" s="7">
        <v>0.27</v>
      </c>
      <c r="D177" s="7">
        <v>0.35</v>
      </c>
      <c r="E177" s="4" t="s">
        <v>35</v>
      </c>
      <c r="F177" s="11">
        <f t="shared" ref="F177" si="248">IFERROR(B177*100,"-")</f>
        <v>2</v>
      </c>
      <c r="G177" s="11">
        <f t="shared" ref="G177" si="249">IFERROR(C177*100,"-")</f>
        <v>27</v>
      </c>
      <c r="H177" s="11">
        <f t="shared" ref="H177" si="250">IFERROR(D177*100,"-")</f>
        <v>35</v>
      </c>
      <c r="I177" s="11">
        <f t="shared" ref="I177" si="251">IFERROR(E177*1000,"-")</f>
        <v>300</v>
      </c>
    </row>
    <row r="178" spans="1:9" x14ac:dyDescent="0.3">
      <c r="A178" s="21" t="s">
        <v>144</v>
      </c>
      <c r="B178" s="7">
        <v>0.02</v>
      </c>
      <c r="C178" s="7">
        <v>0.27</v>
      </c>
      <c r="D178" s="7">
        <v>0.35</v>
      </c>
      <c r="E178" s="4" t="s">
        <v>35</v>
      </c>
      <c r="F178" s="11">
        <f t="shared" ref="F178:F185" si="252">IFERROR(B178*100,"-")</f>
        <v>2</v>
      </c>
      <c r="G178" s="11">
        <f t="shared" ref="G178:G183" si="253">IFERROR(C178*100,"-")</f>
        <v>27</v>
      </c>
      <c r="H178" s="11">
        <f t="shared" ref="H178:H179" si="254">IFERROR(D178*100,"-")</f>
        <v>35</v>
      </c>
      <c r="I178" s="11">
        <f t="shared" ref="I178:I179" si="255">IFERROR(E178*1000,"-")</f>
        <v>300</v>
      </c>
    </row>
    <row r="179" spans="1:9" x14ac:dyDescent="0.3">
      <c r="A179" s="21" t="s">
        <v>164</v>
      </c>
      <c r="B179" s="8">
        <v>0.2</v>
      </c>
      <c r="C179" s="8">
        <v>0.23</v>
      </c>
      <c r="D179" s="8">
        <v>0.2</v>
      </c>
      <c r="E179" s="5" t="s">
        <v>27</v>
      </c>
      <c r="F179" s="5">
        <f t="shared" si="252"/>
        <v>20</v>
      </c>
      <c r="G179" s="5">
        <f t="shared" si="253"/>
        <v>23</v>
      </c>
      <c r="H179" s="5">
        <f t="shared" si="254"/>
        <v>20</v>
      </c>
      <c r="I179" s="5">
        <f t="shared" si="255"/>
        <v>200</v>
      </c>
    </row>
    <row r="180" spans="1:9" x14ac:dyDescent="0.3">
      <c r="A180" s="21" t="s">
        <v>165</v>
      </c>
      <c r="B180" s="8">
        <v>4.4999999999999998E-2</v>
      </c>
      <c r="C180" s="8">
        <v>0.28000000000000003</v>
      </c>
      <c r="D180" s="8">
        <v>0.2</v>
      </c>
      <c r="E180" s="5" t="s">
        <v>27</v>
      </c>
      <c r="F180" s="5">
        <f t="shared" si="252"/>
        <v>4.5</v>
      </c>
      <c r="G180" s="5">
        <f t="shared" si="253"/>
        <v>28.000000000000004</v>
      </c>
      <c r="H180" s="5">
        <f t="shared" ref="H180:H185" si="256">IFERROR(D180*100,"-")</f>
        <v>20</v>
      </c>
      <c r="I180" s="5">
        <f t="shared" ref="I180:I183" si="257">IFERROR(E180*1000,"-")</f>
        <v>200</v>
      </c>
    </row>
    <row r="181" spans="1:9" x14ac:dyDescent="0.3">
      <c r="A181" s="21" t="s">
        <v>166</v>
      </c>
      <c r="B181" s="8">
        <v>0.1</v>
      </c>
      <c r="C181" s="8">
        <v>7.0000000000000007E-2</v>
      </c>
      <c r="D181" s="8">
        <v>0.2</v>
      </c>
      <c r="E181" s="5" t="s">
        <v>27</v>
      </c>
      <c r="F181" s="5">
        <f t="shared" si="252"/>
        <v>10</v>
      </c>
      <c r="G181" s="5">
        <f t="shared" si="253"/>
        <v>7.0000000000000009</v>
      </c>
      <c r="H181" s="5">
        <f t="shared" si="256"/>
        <v>20</v>
      </c>
      <c r="I181" s="5">
        <f t="shared" si="257"/>
        <v>200</v>
      </c>
    </row>
    <row r="182" spans="1:9" x14ac:dyDescent="0.3">
      <c r="A182" s="21" t="s">
        <v>163</v>
      </c>
      <c r="B182" s="8">
        <v>4.4999999999999998E-2</v>
      </c>
      <c r="C182" s="8">
        <v>0.25</v>
      </c>
      <c r="D182" s="8">
        <v>0.2</v>
      </c>
      <c r="E182" s="5" t="s">
        <v>27</v>
      </c>
      <c r="F182" s="5">
        <f t="shared" si="252"/>
        <v>4.5</v>
      </c>
      <c r="G182" s="5">
        <f t="shared" si="253"/>
        <v>25</v>
      </c>
      <c r="H182" s="5">
        <f t="shared" si="256"/>
        <v>20</v>
      </c>
      <c r="I182" s="5">
        <f t="shared" si="257"/>
        <v>200</v>
      </c>
    </row>
    <row r="183" spans="1:9" ht="1.2" customHeight="1" x14ac:dyDescent="0.3">
      <c r="A183" s="21" t="s">
        <v>167</v>
      </c>
      <c r="B183" s="8">
        <v>7.0000000000000007E-2</v>
      </c>
      <c r="C183" s="8">
        <v>0.13</v>
      </c>
      <c r="D183" s="8">
        <v>0.2</v>
      </c>
      <c r="E183" s="5" t="s">
        <v>27</v>
      </c>
      <c r="F183" s="5">
        <f t="shared" si="252"/>
        <v>7.0000000000000009</v>
      </c>
      <c r="G183" s="5">
        <f t="shared" si="253"/>
        <v>13</v>
      </c>
      <c r="H183" s="5">
        <f t="shared" si="256"/>
        <v>20</v>
      </c>
      <c r="I183" s="5">
        <f t="shared" si="257"/>
        <v>200</v>
      </c>
    </row>
    <row r="184" spans="1:9" x14ac:dyDescent="0.3">
      <c r="A184" t="s">
        <v>183</v>
      </c>
      <c r="B184" s="8">
        <v>0.6</v>
      </c>
      <c r="C184" s="8">
        <v>0.2</v>
      </c>
      <c r="D184" s="8">
        <v>0.6</v>
      </c>
      <c r="E184" s="5" t="s">
        <v>30</v>
      </c>
      <c r="F184" s="5">
        <f t="shared" si="252"/>
        <v>60</v>
      </c>
      <c r="G184" s="5" t="s">
        <v>182</v>
      </c>
      <c r="H184" s="5">
        <f t="shared" si="256"/>
        <v>60</v>
      </c>
      <c r="I184" s="5" t="s">
        <v>187</v>
      </c>
    </row>
    <row r="185" spans="1:9" x14ac:dyDescent="0.3">
      <c r="A185" s="2" t="s">
        <v>184</v>
      </c>
      <c r="B185" s="7">
        <v>0.06</v>
      </c>
      <c r="C185" s="7">
        <v>0.26</v>
      </c>
      <c r="D185" s="7">
        <v>0.1</v>
      </c>
      <c r="E185" s="4" t="s">
        <v>80</v>
      </c>
      <c r="F185" s="11">
        <f t="shared" si="252"/>
        <v>6</v>
      </c>
      <c r="G185" s="11">
        <f t="shared" ref="G185" si="258">IFERROR(C185*100,"-")</f>
        <v>26</v>
      </c>
      <c r="H185" s="11">
        <f t="shared" si="256"/>
        <v>10</v>
      </c>
      <c r="I185" s="11">
        <f t="shared" ref="I185" si="259">IFERROR(E185*1000,"-")</f>
        <v>239</v>
      </c>
    </row>
    <row r="186" spans="1:9" x14ac:dyDescent="0.3">
      <c r="B186" s="8">
        <v>1.25</v>
      </c>
      <c r="C186" s="8">
        <v>15</v>
      </c>
      <c r="F186" s="11">
        <f t="shared" ref="F186:F188" si="260">IFERROR(B186*100,"-")</f>
        <v>125</v>
      </c>
      <c r="G186" s="11">
        <f t="shared" ref="G186:G188" si="261">IFERROR(C186*100,"-")</f>
        <v>1500</v>
      </c>
      <c r="H186" s="11">
        <f t="shared" ref="H186:H188" si="262">IFERROR(D186*100,"-")</f>
        <v>0</v>
      </c>
      <c r="I186" s="11">
        <f t="shared" ref="I186:I188" si="263">IFERROR(E186*1000,"-")</f>
        <v>0</v>
      </c>
    </row>
    <row r="187" spans="1:9" x14ac:dyDescent="0.3">
      <c r="A187" t="s">
        <v>251</v>
      </c>
      <c r="B187" s="8">
        <v>0.4</v>
      </c>
      <c r="C187" s="8">
        <v>0.3</v>
      </c>
      <c r="D187" s="8">
        <v>0.3</v>
      </c>
      <c r="E187" s="5" t="s">
        <v>30</v>
      </c>
      <c r="F187" s="5">
        <f t="shared" ref="F187" si="264">IFERROR(B187*100,"-")</f>
        <v>40</v>
      </c>
      <c r="G187" s="5">
        <f t="shared" ref="G187" si="265">IFERROR(C187*100,"-")</f>
        <v>30</v>
      </c>
      <c r="H187" s="11">
        <f t="shared" ref="H187" si="266">IFERROR(D187*100,"-")</f>
        <v>30</v>
      </c>
      <c r="I187" s="11">
        <f t="shared" ref="I187" si="267">IFERROR(E187*1000,"-")</f>
        <v>500</v>
      </c>
    </row>
    <row r="188" spans="1:9" x14ac:dyDescent="0.3">
      <c r="A188" t="s">
        <v>218</v>
      </c>
      <c r="B188" s="8">
        <v>0.4</v>
      </c>
      <c r="C188" s="8">
        <v>0.3</v>
      </c>
      <c r="D188" s="8">
        <v>0.3</v>
      </c>
      <c r="E188" s="5" t="s">
        <v>30</v>
      </c>
      <c r="F188" s="5">
        <f t="shared" si="260"/>
        <v>40</v>
      </c>
      <c r="G188" s="5">
        <f t="shared" si="261"/>
        <v>30</v>
      </c>
      <c r="H188" s="11">
        <f t="shared" si="262"/>
        <v>30</v>
      </c>
      <c r="I188" s="11">
        <f t="shared" si="263"/>
        <v>500</v>
      </c>
    </row>
  </sheetData>
  <autoFilter ref="A1:M188" xr:uid="{F0DE8FD6-DEBF-46C2-A280-B102F5DAD7DA}"/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173A-3419-4AC6-B191-DF9366A6ED15}">
  <sheetPr codeName="Hoja5"/>
  <dimension ref="A1:F10"/>
  <sheetViews>
    <sheetView workbookViewId="0">
      <selection activeCell="C10" sqref="C10"/>
    </sheetView>
  </sheetViews>
  <sheetFormatPr baseColWidth="10" defaultRowHeight="14.4" x14ac:dyDescent="0.3"/>
  <sheetData>
    <row r="1" spans="1:6" x14ac:dyDescent="0.3">
      <c r="A1">
        <f>2000/30%</f>
        <v>6666.666666666667</v>
      </c>
    </row>
    <row r="7" spans="1:6" x14ac:dyDescent="0.3">
      <c r="F7">
        <f>6666*30%</f>
        <v>1999.8</v>
      </c>
    </row>
    <row r="10" spans="1:6" x14ac:dyDescent="0.3">
      <c r="C10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1E7E-4BAA-48C5-BD6E-881D4C9764BD}">
  <sheetPr codeName="Hoja4" filterMode="1"/>
  <dimension ref="A1:XEZ120"/>
  <sheetViews>
    <sheetView workbookViewId="0">
      <selection activeCell="A97" sqref="A97"/>
    </sheetView>
  </sheetViews>
  <sheetFormatPr baseColWidth="10" defaultColWidth="11.44140625" defaultRowHeight="14.4" x14ac:dyDescent="0.3"/>
  <cols>
    <col min="1" max="1" width="24" customWidth="1"/>
    <col min="2" max="4" width="11.44140625" style="11"/>
    <col min="5" max="5" width="11.44140625" style="5"/>
  </cols>
  <sheetData>
    <row r="1" spans="1:13" x14ac:dyDescent="0.3">
      <c r="A1" s="1" t="s">
        <v>0</v>
      </c>
      <c r="B1" s="9" t="s">
        <v>1</v>
      </c>
      <c r="C1" s="9" t="s">
        <v>2</v>
      </c>
      <c r="D1" s="9" t="s">
        <v>3</v>
      </c>
      <c r="E1" s="3" t="s">
        <v>4</v>
      </c>
    </row>
    <row r="2" spans="1:13" s="29" customFormat="1" hidden="1" x14ac:dyDescent="0.3">
      <c r="A2" s="25" t="s">
        <v>8</v>
      </c>
      <c r="B2" s="26">
        <v>0.08</v>
      </c>
      <c r="C2" s="26">
        <v>0.15</v>
      </c>
      <c r="D2" s="26">
        <v>0.22</v>
      </c>
      <c r="E2" s="27" t="s">
        <v>30</v>
      </c>
      <c r="F2" s="28">
        <f>IFERROR(B2*100,"-")</f>
        <v>8</v>
      </c>
      <c r="G2" s="28">
        <f t="shared" ref="G2:H2" si="0">IFERROR(C2*100,"-")</f>
        <v>15</v>
      </c>
      <c r="H2" s="28">
        <f t="shared" si="0"/>
        <v>22</v>
      </c>
      <c r="I2" s="28">
        <f t="shared" ref="I2" si="1">IFERROR(E2*1000,"-")</f>
        <v>500</v>
      </c>
      <c r="J2" s="28">
        <f>IFERROR(IF(B2&gt;1,B2,B2*100),"-")</f>
        <v>8</v>
      </c>
      <c r="K2" s="28">
        <f t="shared" ref="K2:L2" si="2">IFERROR(IF(C2&gt;1,C2,C2*100),"-")</f>
        <v>15</v>
      </c>
      <c r="L2" s="28">
        <f t="shared" si="2"/>
        <v>22</v>
      </c>
      <c r="M2" s="28">
        <f>IFERROR(IF(VALUE(E2)&lt;1,E2*1000,E2),"-")</f>
        <v>500</v>
      </c>
    </row>
    <row r="3" spans="1:13" hidden="1" x14ac:dyDescent="0.3">
      <c r="A3" s="2" t="s">
        <v>116</v>
      </c>
      <c r="B3" s="10">
        <v>0.08</v>
      </c>
      <c r="C3" s="10">
        <v>0.15</v>
      </c>
      <c r="D3" s="10">
        <v>0.22</v>
      </c>
      <c r="E3" s="4" t="s">
        <v>30</v>
      </c>
      <c r="F3" s="11">
        <f>IFERROR(B3*100,"-")</f>
        <v>8</v>
      </c>
      <c r="G3" s="11">
        <f t="shared" ref="G3:G4" si="3">IFERROR(C3*100,"-")</f>
        <v>15</v>
      </c>
      <c r="H3" s="11">
        <f t="shared" ref="H3:H4" si="4">IFERROR(D3*100,"-")</f>
        <v>22</v>
      </c>
      <c r="I3" s="11">
        <f t="shared" ref="I3:I4" si="5">IFERROR(E3*1000,"-")</f>
        <v>500</v>
      </c>
      <c r="J3" s="11">
        <f t="shared" ref="J3:J96" si="6">IFERROR(IF(B3&gt;1,B3,B3*100),"-")</f>
        <v>8</v>
      </c>
      <c r="K3" s="11">
        <f t="shared" ref="K3:K96" si="7">IFERROR(IF(C3&gt;1,C3,C3*100),"-")</f>
        <v>15</v>
      </c>
      <c r="L3" s="11">
        <f t="shared" ref="L3:L96" si="8">IFERROR(IF(D3&gt;1,D3,D3*100),"-")</f>
        <v>22</v>
      </c>
      <c r="M3" s="11">
        <f t="shared" ref="M3:M96" si="9">IFERROR(IF(VALUE(E3)&lt;1,E3*1000,E3),"-")</f>
        <v>500</v>
      </c>
    </row>
    <row r="4" spans="1:13" hidden="1" x14ac:dyDescent="0.3">
      <c r="A4" s="2" t="s">
        <v>192</v>
      </c>
      <c r="B4" s="10">
        <v>0.09</v>
      </c>
      <c r="C4" s="10">
        <v>0.21</v>
      </c>
      <c r="D4" s="10">
        <v>0.23</v>
      </c>
      <c r="E4" s="4" t="s">
        <v>30</v>
      </c>
      <c r="F4" s="11">
        <f t="shared" ref="F4" si="10">IFERROR(B4*100,"-")</f>
        <v>9</v>
      </c>
      <c r="G4" s="11">
        <f t="shared" si="3"/>
        <v>21</v>
      </c>
      <c r="H4" s="11">
        <f t="shared" si="4"/>
        <v>23</v>
      </c>
      <c r="I4" s="11">
        <f t="shared" si="5"/>
        <v>500</v>
      </c>
      <c r="J4" s="11">
        <f t="shared" ref="J4" si="11">IFERROR(IF(B4&gt;1,B4,B4*100),"-")</f>
        <v>9</v>
      </c>
      <c r="K4" s="11">
        <f t="shared" ref="K4" si="12">IFERROR(IF(C4&gt;1,C4,C4*100),"-")</f>
        <v>21</v>
      </c>
      <c r="L4" s="11">
        <f t="shared" ref="L4" si="13">IFERROR(IF(D4&gt;1,D4,D4*100),"-")</f>
        <v>23</v>
      </c>
      <c r="M4" s="11">
        <f t="shared" ref="M4" si="14">IFERROR(IF(VALUE(E4)&lt;1,E4*1000,E4),"-")</f>
        <v>500</v>
      </c>
    </row>
    <row r="5" spans="1:13" hidden="1" x14ac:dyDescent="0.3">
      <c r="A5" s="2" t="s">
        <v>10</v>
      </c>
      <c r="B5" s="10">
        <v>0.09</v>
      </c>
      <c r="C5" s="10">
        <v>0.21</v>
      </c>
      <c r="D5" s="10">
        <v>0.23</v>
      </c>
      <c r="E5" s="4" t="s">
        <v>30</v>
      </c>
      <c r="F5" s="11">
        <f t="shared" ref="F5:F105" si="15">IFERROR(B5*100,"-")</f>
        <v>9</v>
      </c>
      <c r="G5" s="11">
        <f t="shared" ref="G5:G105" si="16">IFERROR(C5*100,"-")</f>
        <v>21</v>
      </c>
      <c r="H5" s="11">
        <f t="shared" ref="H5:H105" si="17">IFERROR(D5*100,"-")</f>
        <v>23</v>
      </c>
      <c r="I5" s="11">
        <f t="shared" ref="I5:I105" si="18">IFERROR(E5*1000,"-")</f>
        <v>500</v>
      </c>
      <c r="J5" s="11">
        <f t="shared" si="6"/>
        <v>9</v>
      </c>
      <c r="K5" s="11">
        <f t="shared" si="7"/>
        <v>21</v>
      </c>
      <c r="L5" s="11">
        <f t="shared" si="8"/>
        <v>23</v>
      </c>
      <c r="M5" s="11">
        <f t="shared" si="9"/>
        <v>500</v>
      </c>
    </row>
    <row r="6" spans="1:13" hidden="1" x14ac:dyDescent="0.3">
      <c r="A6" s="2" t="s">
        <v>111</v>
      </c>
      <c r="B6" s="10">
        <v>0.09</v>
      </c>
      <c r="C6" s="10">
        <v>0.21</v>
      </c>
      <c r="D6" s="10">
        <v>0.22</v>
      </c>
      <c r="E6" s="4" t="s">
        <v>86</v>
      </c>
      <c r="F6" s="11">
        <f t="shared" si="15"/>
        <v>9</v>
      </c>
      <c r="G6" s="11">
        <f t="shared" si="16"/>
        <v>21</v>
      </c>
      <c r="H6" s="11">
        <f t="shared" si="17"/>
        <v>22</v>
      </c>
      <c r="I6" s="11">
        <f t="shared" si="18"/>
        <v>800</v>
      </c>
      <c r="J6" s="11">
        <f t="shared" si="6"/>
        <v>9</v>
      </c>
      <c r="K6" s="11">
        <f t="shared" si="7"/>
        <v>21</v>
      </c>
      <c r="L6" s="11">
        <f t="shared" si="8"/>
        <v>22</v>
      </c>
      <c r="M6" s="11">
        <f t="shared" si="9"/>
        <v>800</v>
      </c>
    </row>
    <row r="7" spans="1:13" hidden="1" x14ac:dyDescent="0.3">
      <c r="A7" s="2" t="s">
        <v>118</v>
      </c>
      <c r="B7" s="10">
        <v>0.09</v>
      </c>
      <c r="C7" s="10">
        <v>0.21</v>
      </c>
      <c r="D7" s="10">
        <v>0.22</v>
      </c>
      <c r="E7" s="4" t="s">
        <v>86</v>
      </c>
      <c r="F7" s="11">
        <f t="shared" ref="F7" si="19">IFERROR(B7*100,"-")</f>
        <v>9</v>
      </c>
      <c r="G7" s="11">
        <f t="shared" ref="G7" si="20">IFERROR(C7*100,"-")</f>
        <v>21</v>
      </c>
      <c r="H7" s="11">
        <f t="shared" ref="H7" si="21">IFERROR(D7*100,"-")</f>
        <v>22</v>
      </c>
      <c r="I7" s="11">
        <f t="shared" ref="I7" si="22">IFERROR(E7*1000,"-")</f>
        <v>800</v>
      </c>
      <c r="J7" s="11">
        <f t="shared" si="6"/>
        <v>9</v>
      </c>
      <c r="K7" s="11">
        <f t="shared" si="7"/>
        <v>21</v>
      </c>
      <c r="L7" s="11">
        <f t="shared" si="8"/>
        <v>22</v>
      </c>
      <c r="M7" s="11">
        <f t="shared" si="9"/>
        <v>800</v>
      </c>
    </row>
    <row r="8" spans="1:13" hidden="1" x14ac:dyDescent="0.3">
      <c r="A8" s="2" t="s">
        <v>12</v>
      </c>
      <c r="B8" s="10">
        <v>0.09</v>
      </c>
      <c r="C8" s="10">
        <v>0.21</v>
      </c>
      <c r="D8" s="10">
        <v>0.22</v>
      </c>
      <c r="E8" s="4" t="s">
        <v>86</v>
      </c>
      <c r="F8" s="11">
        <f t="shared" ref="F8:F9" si="23">IFERROR(B8*100,"-")</f>
        <v>9</v>
      </c>
      <c r="G8" s="11">
        <f t="shared" ref="G8:G9" si="24">IFERROR(C8*100,"-")</f>
        <v>21</v>
      </c>
      <c r="H8" s="11">
        <f t="shared" ref="H8:H9" si="25">IFERROR(D8*100,"-")</f>
        <v>22</v>
      </c>
      <c r="I8" s="11">
        <f t="shared" ref="I8:I9" si="26">IFERROR(E8*1000,"-")</f>
        <v>800</v>
      </c>
      <c r="J8" s="11">
        <f t="shared" si="6"/>
        <v>9</v>
      </c>
      <c r="K8" s="11">
        <f t="shared" si="7"/>
        <v>21</v>
      </c>
      <c r="L8" s="11">
        <f t="shared" si="8"/>
        <v>22</v>
      </c>
      <c r="M8" s="11">
        <f t="shared" si="9"/>
        <v>800</v>
      </c>
    </row>
    <row r="9" spans="1:13" hidden="1" x14ac:dyDescent="0.3">
      <c r="A9" s="2" t="s">
        <v>188</v>
      </c>
      <c r="B9" s="10">
        <v>0.09</v>
      </c>
      <c r="C9" s="10">
        <v>0.16</v>
      </c>
      <c r="D9" s="10">
        <v>0.27</v>
      </c>
      <c r="E9" s="4" t="s">
        <v>30</v>
      </c>
      <c r="F9" s="11">
        <f t="shared" si="23"/>
        <v>9</v>
      </c>
      <c r="G9" s="11">
        <f t="shared" si="24"/>
        <v>16</v>
      </c>
      <c r="H9" s="11">
        <f t="shared" si="25"/>
        <v>27</v>
      </c>
      <c r="I9" s="11">
        <f t="shared" si="26"/>
        <v>500</v>
      </c>
      <c r="J9" s="11">
        <f t="shared" ref="J9" si="27">IFERROR(IF(B9&gt;1,B9,B9*100),"-")</f>
        <v>9</v>
      </c>
      <c r="K9" s="11">
        <f t="shared" ref="K9" si="28">IFERROR(IF(C9&gt;1,C9,C9*100),"-")</f>
        <v>16</v>
      </c>
      <c r="L9" s="11">
        <f t="shared" ref="L9" si="29">IFERROR(IF(D9&gt;1,D9,D9*100),"-")</f>
        <v>27</v>
      </c>
      <c r="M9" s="11">
        <f t="shared" ref="M9" si="30">IFERROR(IF(VALUE(E9)&lt;1,E9*1000,E9),"-")</f>
        <v>500</v>
      </c>
    </row>
    <row r="10" spans="1:13" hidden="1" x14ac:dyDescent="0.3">
      <c r="A10" s="2" t="s">
        <v>13</v>
      </c>
      <c r="B10" s="10">
        <v>0.09</v>
      </c>
      <c r="C10" s="10">
        <v>0.16</v>
      </c>
      <c r="D10" s="10">
        <v>0.27</v>
      </c>
      <c r="E10" s="4" t="s">
        <v>30</v>
      </c>
      <c r="F10" s="11">
        <f t="shared" si="15"/>
        <v>9</v>
      </c>
      <c r="G10" s="11">
        <f t="shared" si="16"/>
        <v>16</v>
      </c>
      <c r="H10" s="11">
        <f t="shared" si="17"/>
        <v>27</v>
      </c>
      <c r="I10" s="11">
        <f t="shared" si="18"/>
        <v>500</v>
      </c>
      <c r="J10" s="11">
        <f t="shared" si="6"/>
        <v>9</v>
      </c>
      <c r="K10" s="11">
        <f t="shared" si="7"/>
        <v>16</v>
      </c>
      <c r="L10" s="11">
        <f t="shared" si="8"/>
        <v>27</v>
      </c>
      <c r="M10" s="11">
        <f t="shared" si="9"/>
        <v>500</v>
      </c>
    </row>
    <row r="11" spans="1:13" hidden="1" x14ac:dyDescent="0.3">
      <c r="A11" s="2" t="s">
        <v>193</v>
      </c>
      <c r="B11" s="10">
        <v>0.08</v>
      </c>
      <c r="C11" s="10">
        <v>0.16</v>
      </c>
      <c r="D11" s="10">
        <v>0.19</v>
      </c>
      <c r="E11" s="4" t="s">
        <v>35</v>
      </c>
      <c r="F11" s="11">
        <f t="shared" ref="F11" si="31">IFERROR(B11*100,"-")</f>
        <v>8</v>
      </c>
      <c r="G11" s="11">
        <f t="shared" ref="G11" si="32">IFERROR(C11*100,"-")</f>
        <v>16</v>
      </c>
      <c r="H11" s="11">
        <f t="shared" ref="H11" si="33">IFERROR(D11*100,"-")</f>
        <v>19</v>
      </c>
      <c r="I11" s="11">
        <f t="shared" ref="I11" si="34">IFERROR(E11*1000,"-")</f>
        <v>300</v>
      </c>
      <c r="J11" s="11">
        <f t="shared" ref="J11" si="35">IFERROR(IF(B11&gt;1,B11,B11*100),"-")</f>
        <v>8</v>
      </c>
      <c r="K11" s="11">
        <f t="shared" ref="K11" si="36">IFERROR(IF(C11&gt;1,C11,C11*100),"-")</f>
        <v>16</v>
      </c>
      <c r="L11" s="11">
        <f t="shared" ref="L11" si="37">IFERROR(IF(D11&gt;1,D11,D11*100),"-")</f>
        <v>19</v>
      </c>
      <c r="M11" s="11">
        <f t="shared" ref="M11" si="38">IFERROR(IF(VALUE(E11)&lt;1,E11*1000,E11),"-")</f>
        <v>300</v>
      </c>
    </row>
    <row r="12" spans="1:13" hidden="1" x14ac:dyDescent="0.3">
      <c r="A12" s="2" t="s">
        <v>15</v>
      </c>
      <c r="B12" s="10">
        <v>0.08</v>
      </c>
      <c r="C12" s="10">
        <v>0.16</v>
      </c>
      <c r="D12" s="10">
        <v>0.19</v>
      </c>
      <c r="E12" s="4" t="s">
        <v>35</v>
      </c>
      <c r="F12" s="11">
        <f t="shared" si="15"/>
        <v>8</v>
      </c>
      <c r="G12" s="11">
        <f t="shared" si="16"/>
        <v>16</v>
      </c>
      <c r="H12" s="11">
        <f t="shared" si="17"/>
        <v>19</v>
      </c>
      <c r="I12" s="11">
        <f t="shared" si="18"/>
        <v>300</v>
      </c>
      <c r="J12" s="11">
        <f t="shared" si="6"/>
        <v>8</v>
      </c>
      <c r="K12" s="11">
        <f t="shared" si="7"/>
        <v>16</v>
      </c>
      <c r="L12" s="11">
        <f t="shared" si="8"/>
        <v>19</v>
      </c>
      <c r="M12" s="11">
        <f t="shared" si="9"/>
        <v>300</v>
      </c>
    </row>
    <row r="13" spans="1:13" hidden="1" x14ac:dyDescent="0.3">
      <c r="A13" s="2" t="s">
        <v>117</v>
      </c>
      <c r="B13" s="10">
        <v>0.08</v>
      </c>
      <c r="C13" s="10">
        <v>0.16</v>
      </c>
      <c r="D13" s="10">
        <v>0.19</v>
      </c>
      <c r="E13" s="4" t="s">
        <v>35</v>
      </c>
      <c r="F13" s="11">
        <f t="shared" ref="F13:F14" si="39">IFERROR(B13*100,"-")</f>
        <v>8</v>
      </c>
      <c r="G13" s="11">
        <f t="shared" ref="G13:G14" si="40">IFERROR(C13*100,"-")</f>
        <v>16</v>
      </c>
      <c r="H13" s="11">
        <f t="shared" ref="H13:H14" si="41">IFERROR(D13*100,"-")</f>
        <v>19</v>
      </c>
      <c r="I13" s="11">
        <f t="shared" ref="I13:I14" si="42">IFERROR(E13*1000,"-")</f>
        <v>300</v>
      </c>
      <c r="J13" s="11">
        <f t="shared" si="6"/>
        <v>8</v>
      </c>
      <c r="K13" s="11">
        <f t="shared" si="7"/>
        <v>16</v>
      </c>
      <c r="L13" s="11">
        <f t="shared" si="8"/>
        <v>19</v>
      </c>
      <c r="M13" s="11">
        <f t="shared" si="9"/>
        <v>300</v>
      </c>
    </row>
    <row r="14" spans="1:13" hidden="1" x14ac:dyDescent="0.3">
      <c r="A14" s="2" t="s">
        <v>17</v>
      </c>
      <c r="B14" s="10">
        <v>0.09</v>
      </c>
      <c r="C14" s="10">
        <v>0.14000000000000001</v>
      </c>
      <c r="D14" s="10">
        <v>0.22</v>
      </c>
      <c r="E14" s="4" t="s">
        <v>27</v>
      </c>
      <c r="F14" s="11">
        <f t="shared" si="39"/>
        <v>9</v>
      </c>
      <c r="G14" s="11">
        <f t="shared" si="40"/>
        <v>14.000000000000002</v>
      </c>
      <c r="H14" s="11">
        <f t="shared" si="41"/>
        <v>22</v>
      </c>
      <c r="I14" s="11">
        <f t="shared" si="42"/>
        <v>200</v>
      </c>
      <c r="J14" s="11">
        <f t="shared" ref="J14" si="43">IFERROR(IF(B14&gt;1,B14,B14*100),"-")</f>
        <v>9</v>
      </c>
      <c r="K14" s="11">
        <f t="shared" ref="K14" si="44">IFERROR(IF(C14&gt;1,C14,C14*100),"-")</f>
        <v>14.000000000000002</v>
      </c>
      <c r="L14" s="11">
        <f t="shared" ref="L14" si="45">IFERROR(IF(D14&gt;1,D14,D14*100),"-")</f>
        <v>22</v>
      </c>
      <c r="M14" s="11">
        <f t="shared" ref="M14" si="46">IFERROR(IF(VALUE(E14)&lt;1,E14*1000,E14),"-")</f>
        <v>200</v>
      </c>
    </row>
    <row r="15" spans="1:13" hidden="1" x14ac:dyDescent="0.3">
      <c r="A15" s="2" t="s">
        <v>18</v>
      </c>
      <c r="B15" s="10" t="s">
        <v>62</v>
      </c>
      <c r="C15" s="10" t="s">
        <v>62</v>
      </c>
      <c r="D15" s="10" t="s">
        <v>62</v>
      </c>
      <c r="E15" s="4" t="s">
        <v>62</v>
      </c>
      <c r="F15" s="11" t="str">
        <f t="shared" si="15"/>
        <v>-</v>
      </c>
      <c r="G15" s="11" t="str">
        <f t="shared" si="16"/>
        <v>-</v>
      </c>
      <c r="H15" s="11" t="str">
        <f t="shared" si="17"/>
        <v>-</v>
      </c>
      <c r="I15" s="11" t="str">
        <f t="shared" si="18"/>
        <v>-</v>
      </c>
      <c r="J15" s="11" t="str">
        <f t="shared" si="6"/>
        <v>-</v>
      </c>
      <c r="K15" s="11" t="str">
        <f t="shared" si="7"/>
        <v>-</v>
      </c>
      <c r="L15" s="11" t="str">
        <f t="shared" si="8"/>
        <v>-</v>
      </c>
      <c r="M15" s="11" t="str">
        <f t="shared" si="9"/>
        <v>-</v>
      </c>
    </row>
    <row r="16" spans="1:13" hidden="1" x14ac:dyDescent="0.3">
      <c r="A16" s="2" t="s">
        <v>20</v>
      </c>
      <c r="B16" s="10" t="s">
        <v>62</v>
      </c>
      <c r="C16" s="10" t="s">
        <v>62</v>
      </c>
      <c r="D16" s="10" t="s">
        <v>62</v>
      </c>
      <c r="E16" s="4" t="s">
        <v>62</v>
      </c>
      <c r="F16" s="11" t="str">
        <f t="shared" si="15"/>
        <v>-</v>
      </c>
      <c r="G16" s="11" t="str">
        <f t="shared" si="16"/>
        <v>-</v>
      </c>
      <c r="H16" s="11" t="str">
        <f t="shared" si="17"/>
        <v>-</v>
      </c>
      <c r="I16" s="11" t="str">
        <f t="shared" si="18"/>
        <v>-</v>
      </c>
      <c r="J16" s="11" t="str">
        <f t="shared" si="6"/>
        <v>-</v>
      </c>
      <c r="K16" s="11" t="str">
        <f t="shared" si="7"/>
        <v>-</v>
      </c>
      <c r="L16" s="11" t="str">
        <f t="shared" si="8"/>
        <v>-</v>
      </c>
      <c r="M16" s="11" t="str">
        <f t="shared" si="9"/>
        <v>-</v>
      </c>
    </row>
    <row r="17" spans="1:13" hidden="1" x14ac:dyDescent="0.3">
      <c r="A17" s="2" t="s">
        <v>21</v>
      </c>
      <c r="B17" s="10">
        <v>0.09</v>
      </c>
      <c r="C17" s="10">
        <v>0.14000000000000001</v>
      </c>
      <c r="D17" s="10">
        <v>0.22</v>
      </c>
      <c r="E17" s="4" t="s">
        <v>27</v>
      </c>
      <c r="F17" s="11">
        <f t="shared" si="15"/>
        <v>9</v>
      </c>
      <c r="G17" s="11">
        <f t="shared" si="16"/>
        <v>14.000000000000002</v>
      </c>
      <c r="H17" s="11">
        <f t="shared" si="17"/>
        <v>22</v>
      </c>
      <c r="I17" s="11">
        <f t="shared" si="18"/>
        <v>200</v>
      </c>
      <c r="J17" s="11">
        <f t="shared" si="6"/>
        <v>9</v>
      </c>
      <c r="K17" s="11">
        <f t="shared" si="7"/>
        <v>14.000000000000002</v>
      </c>
      <c r="L17" s="11">
        <f t="shared" si="8"/>
        <v>22</v>
      </c>
      <c r="M17" s="11">
        <f t="shared" si="9"/>
        <v>200</v>
      </c>
    </row>
    <row r="18" spans="1:13" hidden="1" x14ac:dyDescent="0.3">
      <c r="A18" s="2" t="s">
        <v>23</v>
      </c>
      <c r="B18" s="10" t="s">
        <v>62</v>
      </c>
      <c r="C18" s="10" t="s">
        <v>62</v>
      </c>
      <c r="D18" s="10" t="s">
        <v>62</v>
      </c>
      <c r="E18" s="4" t="s">
        <v>62</v>
      </c>
      <c r="F18" s="11" t="str">
        <f t="shared" si="15"/>
        <v>-</v>
      </c>
      <c r="G18" s="11" t="str">
        <f t="shared" si="16"/>
        <v>-</v>
      </c>
      <c r="H18" s="11" t="str">
        <f t="shared" si="17"/>
        <v>-</v>
      </c>
      <c r="I18" s="11" t="str">
        <f t="shared" si="18"/>
        <v>-</v>
      </c>
      <c r="J18" s="11" t="str">
        <f t="shared" si="6"/>
        <v>-</v>
      </c>
      <c r="K18" s="11" t="str">
        <f t="shared" si="7"/>
        <v>-</v>
      </c>
      <c r="L18" s="11" t="str">
        <f t="shared" si="8"/>
        <v>-</v>
      </c>
      <c r="M18" s="11" t="str">
        <f t="shared" si="9"/>
        <v>-</v>
      </c>
    </row>
    <row r="19" spans="1:13" hidden="1" x14ac:dyDescent="0.3">
      <c r="A19" s="2" t="s">
        <v>24</v>
      </c>
      <c r="B19" s="10" t="s">
        <v>62</v>
      </c>
      <c r="C19" s="10" t="s">
        <v>62</v>
      </c>
      <c r="D19" s="10" t="s">
        <v>62</v>
      </c>
      <c r="E19" s="4" t="s">
        <v>62</v>
      </c>
      <c r="F19" s="11" t="str">
        <f t="shared" si="15"/>
        <v>-</v>
      </c>
      <c r="G19" s="11" t="str">
        <f t="shared" si="16"/>
        <v>-</v>
      </c>
      <c r="H19" s="11" t="str">
        <f t="shared" si="17"/>
        <v>-</v>
      </c>
      <c r="I19" s="11" t="str">
        <f t="shared" si="18"/>
        <v>-</v>
      </c>
      <c r="J19" s="11" t="str">
        <f t="shared" si="6"/>
        <v>-</v>
      </c>
      <c r="K19" s="11" t="str">
        <f t="shared" si="7"/>
        <v>-</v>
      </c>
      <c r="L19" s="11" t="str">
        <f t="shared" si="8"/>
        <v>-</v>
      </c>
      <c r="M19" s="11" t="str">
        <f t="shared" si="9"/>
        <v>-</v>
      </c>
    </row>
    <row r="20" spans="1:13" hidden="1" x14ac:dyDescent="0.3">
      <c r="A20" s="2" t="s">
        <v>26</v>
      </c>
      <c r="B20" s="7">
        <v>0.01</v>
      </c>
      <c r="C20" s="7">
        <v>0.28000000000000003</v>
      </c>
      <c r="D20" s="7">
        <v>0.33</v>
      </c>
      <c r="E20" s="4" t="s">
        <v>29</v>
      </c>
      <c r="F20" s="11">
        <f t="shared" ref="F20:F21" si="47">IFERROR(B20*100,"-")</f>
        <v>1</v>
      </c>
      <c r="G20" s="11">
        <f t="shared" ref="G20:G21" si="48">IFERROR(C20*100,"-")</f>
        <v>28.000000000000004</v>
      </c>
      <c r="H20" s="11">
        <f t="shared" ref="H20:H21" si="49">IFERROR(D20*100,"-")</f>
        <v>33</v>
      </c>
      <c r="I20" s="11">
        <f t="shared" ref="I20:I21" si="50">IFERROR(E20*1000,"-")</f>
        <v>700</v>
      </c>
      <c r="J20" s="11">
        <f t="shared" ref="J20:J21" si="51">IFERROR(IF(B20&gt;1,B20,B20*100),"-")</f>
        <v>1</v>
      </c>
      <c r="K20" s="11">
        <f t="shared" ref="K20:K21" si="52">IFERROR(IF(C20&gt;1,C20,C20*100),"-")</f>
        <v>28.000000000000004</v>
      </c>
      <c r="L20" s="11">
        <f t="shared" ref="L20:L21" si="53">IFERROR(IF(D20&gt;1,D20,D20*100),"-")</f>
        <v>33</v>
      </c>
      <c r="M20" s="11">
        <f t="shared" ref="M20:M21" si="54">IFERROR(IF(VALUE(E20)&lt;1,E20*1000,E20),"-")</f>
        <v>700</v>
      </c>
    </row>
    <row r="21" spans="1:13" hidden="1" x14ac:dyDescent="0.3">
      <c r="A21" s="15" t="s">
        <v>244</v>
      </c>
      <c r="B21" s="7">
        <v>0.03</v>
      </c>
      <c r="C21" s="7">
        <v>0.28000000000000003</v>
      </c>
      <c r="D21" s="7">
        <v>0.37</v>
      </c>
      <c r="E21" s="4" t="s">
        <v>29</v>
      </c>
      <c r="F21" s="11">
        <f t="shared" si="47"/>
        <v>3</v>
      </c>
      <c r="G21" s="11">
        <f t="shared" si="48"/>
        <v>28.000000000000004</v>
      </c>
      <c r="H21" s="11">
        <f t="shared" si="49"/>
        <v>37</v>
      </c>
      <c r="I21" s="11">
        <f t="shared" si="50"/>
        <v>700</v>
      </c>
      <c r="J21" s="11">
        <f t="shared" si="51"/>
        <v>3</v>
      </c>
      <c r="K21" s="11">
        <f t="shared" si="52"/>
        <v>28.000000000000004</v>
      </c>
      <c r="L21" s="11">
        <f t="shared" si="53"/>
        <v>37</v>
      </c>
      <c r="M21" s="11">
        <f t="shared" si="54"/>
        <v>700</v>
      </c>
    </row>
    <row r="22" spans="1:13" hidden="1" x14ac:dyDescent="0.3">
      <c r="A22" s="15" t="s">
        <v>28</v>
      </c>
      <c r="B22" s="7">
        <v>0.03</v>
      </c>
      <c r="C22" s="7">
        <v>0.28000000000000003</v>
      </c>
      <c r="D22" s="7">
        <v>0.37</v>
      </c>
      <c r="E22" s="4" t="s">
        <v>29</v>
      </c>
      <c r="F22" s="11">
        <f t="shared" si="15"/>
        <v>3</v>
      </c>
      <c r="G22" s="11">
        <f t="shared" si="16"/>
        <v>28.000000000000004</v>
      </c>
      <c r="H22" s="11">
        <f t="shared" si="17"/>
        <v>37</v>
      </c>
      <c r="I22" s="11">
        <f t="shared" si="18"/>
        <v>700</v>
      </c>
      <c r="J22" s="11">
        <f t="shared" si="6"/>
        <v>3</v>
      </c>
      <c r="K22" s="11">
        <f t="shared" si="7"/>
        <v>28.000000000000004</v>
      </c>
      <c r="L22" s="11">
        <f t="shared" si="8"/>
        <v>37</v>
      </c>
      <c r="M22" s="11">
        <f t="shared" si="9"/>
        <v>700</v>
      </c>
    </row>
    <row r="23" spans="1:13" hidden="1" x14ac:dyDescent="0.3">
      <c r="A23" s="15" t="s">
        <v>242</v>
      </c>
      <c r="B23" s="7">
        <v>0.04</v>
      </c>
      <c r="C23" s="7">
        <v>0.3</v>
      </c>
      <c r="D23" s="7">
        <v>0.35</v>
      </c>
      <c r="E23" s="4" t="s">
        <v>30</v>
      </c>
      <c r="F23" s="11">
        <f t="shared" si="15"/>
        <v>4</v>
      </c>
      <c r="G23" s="11">
        <f t="shared" si="16"/>
        <v>30</v>
      </c>
      <c r="H23" s="11">
        <f t="shared" si="17"/>
        <v>35</v>
      </c>
      <c r="I23" s="11">
        <f t="shared" si="18"/>
        <v>500</v>
      </c>
      <c r="J23" s="11">
        <f t="shared" si="6"/>
        <v>4</v>
      </c>
      <c r="K23" s="11">
        <f t="shared" si="7"/>
        <v>30</v>
      </c>
      <c r="L23" s="11">
        <f t="shared" si="8"/>
        <v>35</v>
      </c>
      <c r="M23" s="11">
        <f t="shared" si="9"/>
        <v>500</v>
      </c>
    </row>
    <row r="24" spans="1:13" hidden="1" x14ac:dyDescent="0.3">
      <c r="A24" s="15"/>
      <c r="B24" s="7"/>
      <c r="C24" s="7"/>
      <c r="D24" s="7"/>
      <c r="E24" s="4"/>
      <c r="F24" s="11"/>
      <c r="G24" s="11"/>
      <c r="H24" s="11"/>
      <c r="I24" s="11"/>
      <c r="J24" s="11"/>
      <c r="K24" s="11"/>
      <c r="L24" s="11"/>
      <c r="M24" s="11"/>
    </row>
    <row r="25" spans="1:13" hidden="1" x14ac:dyDescent="0.3">
      <c r="A25" s="15" t="s">
        <v>31</v>
      </c>
      <c r="B25" s="7">
        <v>0.02</v>
      </c>
      <c r="C25" s="7">
        <v>0.41</v>
      </c>
      <c r="D25" s="7">
        <v>0.6</v>
      </c>
      <c r="E25" s="4" t="s">
        <v>32</v>
      </c>
      <c r="F25" s="11">
        <f t="shared" si="15"/>
        <v>2</v>
      </c>
      <c r="G25" s="11">
        <f t="shared" si="16"/>
        <v>41</v>
      </c>
      <c r="H25" s="11">
        <f t="shared" si="17"/>
        <v>60</v>
      </c>
      <c r="I25" s="11">
        <f t="shared" si="18"/>
        <v>760</v>
      </c>
      <c r="J25" s="11">
        <f t="shared" si="6"/>
        <v>2</v>
      </c>
      <c r="K25" s="11">
        <f t="shared" si="7"/>
        <v>41</v>
      </c>
      <c r="L25" s="11">
        <f t="shared" si="8"/>
        <v>60</v>
      </c>
      <c r="M25" s="11">
        <f t="shared" si="9"/>
        <v>760</v>
      </c>
    </row>
    <row r="26" spans="1:13" hidden="1" x14ac:dyDescent="0.3">
      <c r="A26" s="15" t="s">
        <v>33</v>
      </c>
      <c r="B26" s="7">
        <v>0.01</v>
      </c>
      <c r="C26" s="7">
        <v>0.28999999999999998</v>
      </c>
      <c r="D26" s="7">
        <v>0.35</v>
      </c>
      <c r="E26" s="4" t="s">
        <v>27</v>
      </c>
      <c r="F26" s="11">
        <f t="shared" si="15"/>
        <v>1</v>
      </c>
      <c r="G26" s="11">
        <f t="shared" si="16"/>
        <v>28.999999999999996</v>
      </c>
      <c r="H26" s="11">
        <f t="shared" si="17"/>
        <v>35</v>
      </c>
      <c r="I26" s="11">
        <f t="shared" si="18"/>
        <v>200</v>
      </c>
      <c r="J26" s="11">
        <f t="shared" si="6"/>
        <v>1</v>
      </c>
      <c r="K26" s="11">
        <f t="shared" si="7"/>
        <v>28.999999999999996</v>
      </c>
      <c r="L26" s="11">
        <f t="shared" si="8"/>
        <v>35</v>
      </c>
      <c r="M26" s="11">
        <f t="shared" si="9"/>
        <v>200</v>
      </c>
    </row>
    <row r="27" spans="1:13" hidden="1" x14ac:dyDescent="0.3">
      <c r="A27" s="15" t="s">
        <v>199</v>
      </c>
      <c r="B27" s="7">
        <v>0.01</v>
      </c>
      <c r="C27" s="7">
        <v>0.28999999999999998</v>
      </c>
      <c r="D27" s="7">
        <v>0.35</v>
      </c>
      <c r="E27" s="4" t="s">
        <v>27</v>
      </c>
      <c r="F27" s="11">
        <f t="shared" si="15"/>
        <v>1</v>
      </c>
      <c r="G27" s="11">
        <f t="shared" si="16"/>
        <v>28.999999999999996</v>
      </c>
      <c r="H27" s="11">
        <f t="shared" si="17"/>
        <v>35</v>
      </c>
      <c r="I27" s="11">
        <f t="shared" si="18"/>
        <v>200</v>
      </c>
      <c r="J27" s="11">
        <f t="shared" si="6"/>
        <v>1</v>
      </c>
      <c r="K27" s="11">
        <f t="shared" si="7"/>
        <v>28.999999999999996</v>
      </c>
      <c r="L27" s="11">
        <f t="shared" si="8"/>
        <v>35</v>
      </c>
      <c r="M27" s="11">
        <f t="shared" si="9"/>
        <v>200</v>
      </c>
    </row>
    <row r="28" spans="1:13" hidden="1" x14ac:dyDescent="0.3">
      <c r="A28" s="15" t="s">
        <v>140</v>
      </c>
      <c r="B28" s="7">
        <v>0.01</v>
      </c>
      <c r="C28" s="7">
        <v>0.28999999999999998</v>
      </c>
      <c r="D28" s="7">
        <v>0.35</v>
      </c>
      <c r="E28" s="4" t="s">
        <v>27</v>
      </c>
      <c r="F28" s="11">
        <f t="shared" ref="F28" si="55">IFERROR(B28*100,"-")</f>
        <v>1</v>
      </c>
      <c r="G28" s="11">
        <f t="shared" ref="G28" si="56">IFERROR(C28*100,"-")</f>
        <v>28.999999999999996</v>
      </c>
      <c r="H28" s="11">
        <f t="shared" ref="H28" si="57">IFERROR(D28*100,"-")</f>
        <v>35</v>
      </c>
      <c r="I28" s="11">
        <f t="shared" ref="I28" si="58">IFERROR(E28*1000,"-")</f>
        <v>200</v>
      </c>
      <c r="J28" s="11">
        <f t="shared" ref="J28" si="59">IFERROR(IF(B28&gt;1,B28,B28*100),"-")</f>
        <v>1</v>
      </c>
      <c r="K28" s="11">
        <f t="shared" ref="K28" si="60">IFERROR(IF(C28&gt;1,C28,C28*100),"-")</f>
        <v>28.999999999999996</v>
      </c>
      <c r="L28" s="11">
        <f t="shared" ref="L28" si="61">IFERROR(IF(D28&gt;1,D28,D28*100),"-")</f>
        <v>35</v>
      </c>
      <c r="M28" s="11">
        <f t="shared" ref="M28" si="62">IFERROR(IF(VALUE(E28)&lt;1,E28*1000,E28),"-")</f>
        <v>200</v>
      </c>
    </row>
    <row r="29" spans="1:13" hidden="1" x14ac:dyDescent="0.3">
      <c r="A29" s="15" t="s">
        <v>34</v>
      </c>
      <c r="B29" s="7">
        <v>0.01</v>
      </c>
      <c r="C29" s="7">
        <v>0.28999999999999998</v>
      </c>
      <c r="D29" s="7">
        <v>0.38</v>
      </c>
      <c r="E29" s="4" t="s">
        <v>35</v>
      </c>
      <c r="F29" s="11">
        <f t="shared" si="15"/>
        <v>1</v>
      </c>
      <c r="G29" s="11">
        <f t="shared" si="16"/>
        <v>28.999999999999996</v>
      </c>
      <c r="H29" s="11">
        <f t="shared" si="17"/>
        <v>38</v>
      </c>
      <c r="I29" s="11">
        <f t="shared" si="18"/>
        <v>300</v>
      </c>
      <c r="J29" s="11">
        <f t="shared" si="6"/>
        <v>1</v>
      </c>
      <c r="K29" s="11">
        <f t="shared" si="7"/>
        <v>28.999999999999996</v>
      </c>
      <c r="L29" s="11">
        <f t="shared" si="8"/>
        <v>38</v>
      </c>
      <c r="M29" s="11">
        <f t="shared" si="9"/>
        <v>300</v>
      </c>
    </row>
    <row r="30" spans="1:13" s="22" customFormat="1" hidden="1" x14ac:dyDescent="0.3">
      <c r="A30" s="15" t="s">
        <v>131</v>
      </c>
      <c r="B30" s="7">
        <v>0.01</v>
      </c>
      <c r="C30" s="7">
        <v>0.28999999999999998</v>
      </c>
      <c r="D30" s="7">
        <v>0.38</v>
      </c>
      <c r="E30" s="4" t="s">
        <v>35</v>
      </c>
      <c r="F30" s="11">
        <f t="shared" ref="F30" si="63">IFERROR(B30*100,"-")</f>
        <v>1</v>
      </c>
      <c r="G30" s="11">
        <f t="shared" ref="G30" si="64">IFERROR(C30*100,"-")</f>
        <v>28.999999999999996</v>
      </c>
      <c r="H30" s="11">
        <f t="shared" ref="H30" si="65">IFERROR(D30*100,"-")</f>
        <v>38</v>
      </c>
      <c r="I30" s="11">
        <f t="shared" ref="I30" si="66">IFERROR(E30*1000,"-")</f>
        <v>300</v>
      </c>
      <c r="J30" s="11">
        <f t="shared" ref="J30" si="67">IFERROR(IF(B30&gt;1,B30,B30*100),"-")</f>
        <v>1</v>
      </c>
      <c r="K30" s="11">
        <f t="shared" ref="K30" si="68">IFERROR(IF(C30&gt;1,C30,C30*100),"-")</f>
        <v>28.999999999999996</v>
      </c>
      <c r="L30" s="11">
        <f t="shared" ref="L30" si="69">IFERROR(IF(D30&gt;1,D30,D30*100),"-")</f>
        <v>38</v>
      </c>
      <c r="M30" s="11">
        <f t="shared" ref="M30" si="70">IFERROR(IF(VALUE(E30)&lt;1,E30*1000,E30),"-")</f>
        <v>300</v>
      </c>
    </row>
    <row r="31" spans="1:13" s="23" customFormat="1" hidden="1" x14ac:dyDescent="0.3">
      <c r="A31" s="15" t="s">
        <v>132</v>
      </c>
      <c r="B31" s="7">
        <v>0.01</v>
      </c>
      <c r="C31" s="7">
        <v>0.28999999999999998</v>
      </c>
      <c r="D31" s="7">
        <v>0.38</v>
      </c>
      <c r="E31" s="4" t="s">
        <v>35</v>
      </c>
      <c r="F31" s="11">
        <f t="shared" ref="F31" si="71">IFERROR(B31*100,"-")</f>
        <v>1</v>
      </c>
      <c r="G31" s="11">
        <f t="shared" ref="G31" si="72">IFERROR(C31*100,"-")</f>
        <v>28.999999999999996</v>
      </c>
      <c r="H31" s="11">
        <f t="shared" ref="H31" si="73">IFERROR(D31*100,"-")</f>
        <v>38</v>
      </c>
      <c r="I31" s="11">
        <f t="shared" ref="I31" si="74">IFERROR(E31*1000,"-")</f>
        <v>300</v>
      </c>
      <c r="J31" s="11">
        <f t="shared" ref="J31" si="75">IFERROR(IF(B31&gt;1,B31,B31*100),"-")</f>
        <v>1</v>
      </c>
      <c r="K31" s="11">
        <f t="shared" ref="K31" si="76">IFERROR(IF(C31&gt;1,C31,C31*100),"-")</f>
        <v>28.999999999999996</v>
      </c>
      <c r="L31" s="11">
        <f t="shared" ref="L31" si="77">IFERROR(IF(D31&gt;1,D31,D31*100),"-")</f>
        <v>38</v>
      </c>
      <c r="M31" s="11">
        <f t="shared" ref="M31" si="78">IFERROR(IF(VALUE(E31)&lt;1,E31*1000,E31),"-")</f>
        <v>300</v>
      </c>
    </row>
    <row r="32" spans="1:13" s="23" customFormat="1" hidden="1" x14ac:dyDescent="0.3">
      <c r="A32" s="15" t="s">
        <v>200</v>
      </c>
      <c r="B32" s="7">
        <v>0.01</v>
      </c>
      <c r="C32" s="7">
        <v>0.27</v>
      </c>
      <c r="D32" s="7">
        <v>0.28999999999999998</v>
      </c>
      <c r="E32" s="4" t="s">
        <v>27</v>
      </c>
      <c r="F32" s="11">
        <v>1</v>
      </c>
      <c r="G32" s="11">
        <v>27</v>
      </c>
      <c r="H32" s="11">
        <v>28.999999999999996</v>
      </c>
      <c r="I32" s="11">
        <v>200</v>
      </c>
      <c r="J32" s="11">
        <v>1</v>
      </c>
      <c r="K32" s="11">
        <v>27</v>
      </c>
      <c r="L32" s="11">
        <v>28.999999999999996</v>
      </c>
      <c r="M32" s="11">
        <v>200</v>
      </c>
    </row>
    <row r="33" spans="1:13" s="23" customFormat="1" hidden="1" x14ac:dyDescent="0.3">
      <c r="A33" s="15" t="s">
        <v>203</v>
      </c>
      <c r="B33" s="7">
        <v>0.01</v>
      </c>
      <c r="C33" s="7">
        <v>0.27</v>
      </c>
      <c r="D33" s="7">
        <v>0.28999999999999998</v>
      </c>
      <c r="E33" s="4" t="s">
        <v>27</v>
      </c>
      <c r="F33" s="11">
        <v>1</v>
      </c>
      <c r="G33" s="11">
        <v>27</v>
      </c>
      <c r="H33" s="11">
        <v>28.999999999999996</v>
      </c>
      <c r="I33" s="11">
        <v>200</v>
      </c>
      <c r="J33" s="11">
        <v>1</v>
      </c>
      <c r="K33" s="11">
        <v>27</v>
      </c>
      <c r="L33" s="11">
        <v>28.999999999999996</v>
      </c>
      <c r="M33" s="11">
        <v>200</v>
      </c>
    </row>
    <row r="34" spans="1:13" s="23" customFormat="1" hidden="1" x14ac:dyDescent="0.3">
      <c r="A34" s="15" t="s">
        <v>201</v>
      </c>
      <c r="B34" s="7">
        <v>0.01</v>
      </c>
      <c r="C34" s="7">
        <v>0.27</v>
      </c>
      <c r="D34" s="7">
        <v>0.28999999999999998</v>
      </c>
      <c r="E34" s="4" t="s">
        <v>27</v>
      </c>
      <c r="F34" s="11">
        <f t="shared" ref="F34" si="79">IFERROR(B34*100,"-")</f>
        <v>1</v>
      </c>
      <c r="G34" s="11">
        <f t="shared" ref="G34" si="80">IFERROR(C34*100,"-")</f>
        <v>27</v>
      </c>
      <c r="H34" s="11">
        <f t="shared" ref="H34" si="81">IFERROR(D34*100,"-")</f>
        <v>28.999999999999996</v>
      </c>
      <c r="I34" s="11">
        <f t="shared" ref="I34" si="82">IFERROR(E34*1000,"-")</f>
        <v>200</v>
      </c>
      <c r="J34" s="11">
        <f t="shared" ref="J34" si="83">IFERROR(IF(B34&gt;1,B34,B34*100),"-")</f>
        <v>1</v>
      </c>
      <c r="K34" s="11">
        <f t="shared" ref="K34" si="84">IFERROR(IF(C34&gt;1,C34,C34*100),"-")</f>
        <v>27</v>
      </c>
      <c r="L34" s="11">
        <f t="shared" ref="L34" si="85">IFERROR(IF(D34&gt;1,D34,D34*100),"-")</f>
        <v>28.999999999999996</v>
      </c>
      <c r="M34" s="11">
        <f t="shared" ref="M34" si="86">IFERROR(IF(VALUE(E34)&lt;1,E34*1000,E34),"-")</f>
        <v>200</v>
      </c>
    </row>
    <row r="35" spans="1:13" s="23" customFormat="1" hidden="1" x14ac:dyDescent="0.3">
      <c r="A35" s="15" t="s">
        <v>204</v>
      </c>
      <c r="B35" s="7">
        <v>0.01</v>
      </c>
      <c r="C35" s="7">
        <v>0.27</v>
      </c>
      <c r="D35" s="7">
        <v>0.28999999999999998</v>
      </c>
      <c r="E35" s="4" t="s">
        <v>27</v>
      </c>
      <c r="F35" s="11">
        <f t="shared" ref="F35" si="87">IFERROR(B35*100,"-")</f>
        <v>1</v>
      </c>
      <c r="G35" s="11">
        <f t="shared" ref="G35" si="88">IFERROR(C35*100,"-")</f>
        <v>27</v>
      </c>
      <c r="H35" s="11">
        <f t="shared" ref="H35" si="89">IFERROR(D35*100,"-")</f>
        <v>28.999999999999996</v>
      </c>
      <c r="I35" s="11">
        <f t="shared" ref="I35" si="90">IFERROR(E35*1000,"-")</f>
        <v>200</v>
      </c>
      <c r="J35" s="11">
        <f t="shared" ref="J35" si="91">IFERROR(IF(B35&gt;1,B35,B35*100),"-")</f>
        <v>1</v>
      </c>
      <c r="K35" s="11">
        <f t="shared" ref="K35" si="92">IFERROR(IF(C35&gt;1,C35,C35*100),"-")</f>
        <v>27</v>
      </c>
      <c r="L35" s="11">
        <f t="shared" ref="L35" si="93">IFERROR(IF(D35&gt;1,D35,D35*100),"-")</f>
        <v>28.999999999999996</v>
      </c>
      <c r="M35" s="11">
        <f t="shared" ref="M35" si="94">IFERROR(IF(VALUE(E35)&lt;1,E35*1000,E35),"-")</f>
        <v>200</v>
      </c>
    </row>
    <row r="36" spans="1:13" hidden="1" x14ac:dyDescent="0.3">
      <c r="A36" s="15" t="s">
        <v>214</v>
      </c>
      <c r="B36" s="7">
        <v>0.01</v>
      </c>
      <c r="C36" s="7">
        <v>0.27</v>
      </c>
      <c r="D36" s="7">
        <v>0.28999999999999998</v>
      </c>
      <c r="E36" s="4" t="s">
        <v>27</v>
      </c>
      <c r="F36" s="11">
        <f t="shared" si="15"/>
        <v>1</v>
      </c>
      <c r="G36" s="11">
        <f t="shared" si="16"/>
        <v>27</v>
      </c>
      <c r="H36" s="11">
        <f t="shared" si="17"/>
        <v>28.999999999999996</v>
      </c>
      <c r="I36" s="11">
        <f t="shared" si="18"/>
        <v>200</v>
      </c>
      <c r="J36" s="11">
        <f t="shared" si="6"/>
        <v>1</v>
      </c>
      <c r="K36" s="11">
        <f t="shared" si="7"/>
        <v>27</v>
      </c>
      <c r="L36" s="11">
        <f t="shared" si="8"/>
        <v>28.999999999999996</v>
      </c>
      <c r="M36" s="11">
        <f t="shared" si="9"/>
        <v>200</v>
      </c>
    </row>
    <row r="37" spans="1:13" s="22" customFormat="1" hidden="1" x14ac:dyDescent="0.3">
      <c r="A37" s="15" t="s">
        <v>135</v>
      </c>
      <c r="B37" s="7">
        <v>0.01</v>
      </c>
      <c r="C37" s="7">
        <v>0.27</v>
      </c>
      <c r="D37" s="7">
        <v>0.28999999999999998</v>
      </c>
      <c r="E37" s="4" t="s">
        <v>27</v>
      </c>
      <c r="F37" s="11">
        <f t="shared" ref="F37:F39" si="95">IFERROR(B37*100,"-")</f>
        <v>1</v>
      </c>
      <c r="G37" s="11">
        <f t="shared" ref="G37:G39" si="96">IFERROR(C37*100,"-")</f>
        <v>27</v>
      </c>
      <c r="H37" s="11">
        <f t="shared" ref="H37:H39" si="97">IFERROR(D37*100,"-")</f>
        <v>28.999999999999996</v>
      </c>
      <c r="I37" s="11">
        <f t="shared" ref="I37:I39" si="98">IFERROR(E37*1000,"-")</f>
        <v>200</v>
      </c>
      <c r="J37" s="11">
        <f t="shared" ref="J37:J39" si="99">IFERROR(IF(B37&gt;1,B37,B37*100),"-")</f>
        <v>1</v>
      </c>
      <c r="K37" s="11">
        <f t="shared" ref="K37:K39" si="100">IFERROR(IF(C37&gt;1,C37,C37*100),"-")</f>
        <v>27</v>
      </c>
      <c r="L37" s="11">
        <f t="shared" ref="L37:L39" si="101">IFERROR(IF(D37&gt;1,D37,D37*100),"-")</f>
        <v>28.999999999999996</v>
      </c>
      <c r="M37" s="11">
        <f t="shared" ref="M37:M39" si="102">IFERROR(IF(VALUE(E37)&lt;1,E37*1000,E37),"-")</f>
        <v>200</v>
      </c>
    </row>
    <row r="38" spans="1:13" hidden="1" x14ac:dyDescent="0.3">
      <c r="A38" s="15" t="s">
        <v>37</v>
      </c>
      <c r="B38" s="7">
        <v>0.01</v>
      </c>
      <c r="C38" s="7">
        <v>0.28000000000000003</v>
      </c>
      <c r="D38" s="7">
        <v>0.33</v>
      </c>
      <c r="E38" s="4" t="s">
        <v>29</v>
      </c>
      <c r="F38" s="11">
        <f t="shared" si="95"/>
        <v>1</v>
      </c>
      <c r="G38" s="11">
        <f t="shared" si="96"/>
        <v>28.000000000000004</v>
      </c>
      <c r="H38" s="11">
        <f t="shared" si="97"/>
        <v>33</v>
      </c>
      <c r="I38" s="11">
        <f t="shared" si="98"/>
        <v>700</v>
      </c>
      <c r="J38" s="11">
        <f t="shared" si="99"/>
        <v>1</v>
      </c>
      <c r="K38" s="11">
        <f t="shared" si="100"/>
        <v>28.000000000000004</v>
      </c>
      <c r="L38" s="11">
        <f t="shared" si="101"/>
        <v>33</v>
      </c>
      <c r="M38" s="11">
        <f t="shared" si="102"/>
        <v>700</v>
      </c>
    </row>
    <row r="39" spans="1:13" hidden="1" x14ac:dyDescent="0.3">
      <c r="A39" s="15" t="s">
        <v>256</v>
      </c>
      <c r="B39" s="7">
        <v>0.01</v>
      </c>
      <c r="C39" s="7">
        <v>0.28000000000000003</v>
      </c>
      <c r="D39" s="7">
        <v>0.33</v>
      </c>
      <c r="E39" s="4" t="s">
        <v>29</v>
      </c>
      <c r="F39" s="11">
        <f t="shared" si="95"/>
        <v>1</v>
      </c>
      <c r="G39" s="11">
        <f t="shared" si="96"/>
        <v>28.000000000000004</v>
      </c>
      <c r="H39" s="11">
        <f t="shared" si="97"/>
        <v>33</v>
      </c>
      <c r="I39" s="11">
        <f t="shared" si="98"/>
        <v>700</v>
      </c>
      <c r="J39" s="11">
        <f t="shared" si="99"/>
        <v>1</v>
      </c>
      <c r="K39" s="11">
        <f t="shared" si="100"/>
        <v>28.000000000000004</v>
      </c>
      <c r="L39" s="11">
        <f t="shared" si="101"/>
        <v>33</v>
      </c>
      <c r="M39" s="11">
        <f t="shared" si="102"/>
        <v>700</v>
      </c>
    </row>
    <row r="40" spans="1:13" hidden="1" x14ac:dyDescent="0.3">
      <c r="A40" s="15" t="s">
        <v>213</v>
      </c>
      <c r="B40" s="7">
        <v>0.01</v>
      </c>
      <c r="C40" s="7">
        <v>0.28000000000000003</v>
      </c>
      <c r="D40" s="7">
        <v>0.33</v>
      </c>
      <c r="E40" s="4" t="s">
        <v>29</v>
      </c>
      <c r="F40" s="11">
        <f t="shared" si="15"/>
        <v>1</v>
      </c>
      <c r="G40" s="11">
        <f t="shared" si="16"/>
        <v>28.000000000000004</v>
      </c>
      <c r="H40" s="11">
        <f t="shared" si="17"/>
        <v>33</v>
      </c>
      <c r="I40" s="11">
        <f t="shared" si="18"/>
        <v>700</v>
      </c>
      <c r="J40" s="11">
        <f t="shared" si="6"/>
        <v>1</v>
      </c>
      <c r="K40" s="11">
        <f t="shared" si="7"/>
        <v>28.000000000000004</v>
      </c>
      <c r="L40" s="11">
        <f t="shared" si="8"/>
        <v>33</v>
      </c>
      <c r="M40" s="11">
        <f t="shared" si="9"/>
        <v>700</v>
      </c>
    </row>
    <row r="41" spans="1:13" hidden="1" x14ac:dyDescent="0.3">
      <c r="A41" s="15" t="s">
        <v>38</v>
      </c>
      <c r="B41" s="7">
        <v>0.01</v>
      </c>
      <c r="C41" s="7">
        <v>0.28000000000000003</v>
      </c>
      <c r="D41" s="7">
        <v>0.33</v>
      </c>
      <c r="E41" s="4" t="s">
        <v>35</v>
      </c>
      <c r="F41" s="11">
        <f t="shared" si="15"/>
        <v>1</v>
      </c>
      <c r="G41" s="11">
        <f t="shared" si="16"/>
        <v>28.000000000000004</v>
      </c>
      <c r="H41" s="11">
        <f t="shared" si="17"/>
        <v>33</v>
      </c>
      <c r="I41" s="11">
        <f t="shared" si="18"/>
        <v>300</v>
      </c>
      <c r="J41" s="11">
        <f t="shared" si="6"/>
        <v>1</v>
      </c>
      <c r="K41" s="11">
        <f t="shared" si="7"/>
        <v>28.000000000000004</v>
      </c>
      <c r="L41" s="11">
        <f t="shared" si="8"/>
        <v>33</v>
      </c>
      <c r="M41" s="11">
        <f t="shared" si="9"/>
        <v>300</v>
      </c>
    </row>
    <row r="42" spans="1:13" hidden="1" x14ac:dyDescent="0.3">
      <c r="A42" s="15" t="s">
        <v>39</v>
      </c>
      <c r="B42" s="7">
        <v>0.01</v>
      </c>
      <c r="C42" s="7">
        <v>0.31</v>
      </c>
      <c r="D42" s="7">
        <v>0.47</v>
      </c>
      <c r="E42" s="4" t="s">
        <v>27</v>
      </c>
      <c r="F42" s="11">
        <f t="shared" si="15"/>
        <v>1</v>
      </c>
      <c r="G42" s="11">
        <f t="shared" si="16"/>
        <v>31</v>
      </c>
      <c r="H42" s="11">
        <f t="shared" si="17"/>
        <v>47</v>
      </c>
      <c r="I42" s="11">
        <f t="shared" si="18"/>
        <v>200</v>
      </c>
      <c r="J42" s="11">
        <f t="shared" si="6"/>
        <v>1</v>
      </c>
      <c r="K42" s="11">
        <f t="shared" si="7"/>
        <v>31</v>
      </c>
      <c r="L42" s="11">
        <f t="shared" si="8"/>
        <v>47</v>
      </c>
      <c r="M42" s="11">
        <f t="shared" si="9"/>
        <v>200</v>
      </c>
    </row>
    <row r="43" spans="1:13" hidden="1" x14ac:dyDescent="0.3">
      <c r="A43" s="15" t="s">
        <v>110</v>
      </c>
      <c r="B43" s="7">
        <v>0.02</v>
      </c>
      <c r="C43" s="7">
        <v>0.27</v>
      </c>
      <c r="D43" s="7">
        <v>0.35</v>
      </c>
      <c r="E43" s="4" t="s">
        <v>35</v>
      </c>
      <c r="F43" s="11">
        <f t="shared" si="15"/>
        <v>2</v>
      </c>
      <c r="G43" s="11">
        <f t="shared" si="16"/>
        <v>27</v>
      </c>
      <c r="H43" s="11">
        <f t="shared" si="17"/>
        <v>35</v>
      </c>
      <c r="I43" s="11">
        <f t="shared" si="18"/>
        <v>300</v>
      </c>
      <c r="J43" s="11">
        <f t="shared" si="6"/>
        <v>2</v>
      </c>
      <c r="K43" s="11">
        <f t="shared" si="7"/>
        <v>27</v>
      </c>
      <c r="L43" s="11">
        <f t="shared" si="8"/>
        <v>35</v>
      </c>
      <c r="M43" s="11">
        <f t="shared" si="9"/>
        <v>300</v>
      </c>
    </row>
    <row r="44" spans="1:13" hidden="1" x14ac:dyDescent="0.3">
      <c r="A44" s="15" t="s">
        <v>124</v>
      </c>
      <c r="B44" s="7">
        <v>0.02</v>
      </c>
      <c r="C44" s="7">
        <v>0.27</v>
      </c>
      <c r="D44" s="7">
        <v>0.35</v>
      </c>
      <c r="E44" s="4" t="s">
        <v>35</v>
      </c>
      <c r="F44" s="11">
        <f t="shared" si="15"/>
        <v>2</v>
      </c>
      <c r="G44" s="11">
        <f t="shared" si="16"/>
        <v>27</v>
      </c>
      <c r="H44" s="11">
        <f t="shared" si="17"/>
        <v>35</v>
      </c>
      <c r="I44" s="11">
        <f t="shared" si="18"/>
        <v>300</v>
      </c>
      <c r="J44" s="11">
        <f t="shared" si="6"/>
        <v>2</v>
      </c>
      <c r="K44" s="11">
        <f t="shared" si="7"/>
        <v>27</v>
      </c>
      <c r="L44" s="11">
        <f t="shared" si="8"/>
        <v>35</v>
      </c>
      <c r="M44" s="11">
        <f t="shared" si="9"/>
        <v>300</v>
      </c>
    </row>
    <row r="45" spans="1:13" hidden="1" x14ac:dyDescent="0.3">
      <c r="A45" s="15" t="s">
        <v>53</v>
      </c>
      <c r="B45" s="7">
        <v>0.02</v>
      </c>
      <c r="C45" s="7">
        <v>0.27</v>
      </c>
      <c r="D45" s="7">
        <v>0.35</v>
      </c>
      <c r="E45" s="4" t="s">
        <v>35</v>
      </c>
      <c r="F45" s="11">
        <f t="shared" ref="F45" si="103">IFERROR(B45*100,"-")</f>
        <v>2</v>
      </c>
      <c r="G45" s="11">
        <f t="shared" ref="G45" si="104">IFERROR(C45*100,"-")</f>
        <v>27</v>
      </c>
      <c r="H45" s="11">
        <f t="shared" ref="H45" si="105">IFERROR(D45*100,"-")</f>
        <v>35</v>
      </c>
      <c r="I45" s="11">
        <f t="shared" ref="I45" si="106">IFERROR(E45*1000,"-")</f>
        <v>300</v>
      </c>
      <c r="J45" s="11">
        <f t="shared" ref="J45" si="107">IFERROR(IF(B45&gt;1,B45,B45*100),"-")</f>
        <v>2</v>
      </c>
      <c r="K45" s="11">
        <f t="shared" ref="K45" si="108">IFERROR(IF(C45&gt;1,C45,C45*100),"-")</f>
        <v>27</v>
      </c>
      <c r="L45" s="11">
        <f t="shared" ref="L45" si="109">IFERROR(IF(D45&gt;1,D45,D45*100),"-")</f>
        <v>35</v>
      </c>
      <c r="M45" s="11">
        <f t="shared" ref="M45" si="110">IFERROR(IF(VALUE(E45)&lt;1,E45*1000,E45),"-")</f>
        <v>300</v>
      </c>
    </row>
    <row r="46" spans="1:13" hidden="1" x14ac:dyDescent="0.3">
      <c r="A46" s="15" t="s">
        <v>134</v>
      </c>
      <c r="B46" s="7">
        <v>0.02</v>
      </c>
      <c r="C46" s="7">
        <v>0.27</v>
      </c>
      <c r="D46" s="7">
        <v>0.35</v>
      </c>
      <c r="E46" s="4" t="s">
        <v>35</v>
      </c>
      <c r="F46" s="11">
        <f t="shared" ref="F46" si="111">IFERROR(B46*100,"-")</f>
        <v>2</v>
      </c>
      <c r="G46" s="11">
        <f t="shared" ref="G46" si="112">IFERROR(C46*100,"-")</f>
        <v>27</v>
      </c>
      <c r="H46" s="11">
        <f t="shared" ref="H46" si="113">IFERROR(D46*100,"-")</f>
        <v>35</v>
      </c>
      <c r="I46" s="11">
        <f t="shared" ref="I46" si="114">IFERROR(E46*1000,"-")</f>
        <v>300</v>
      </c>
      <c r="J46" s="11">
        <f t="shared" ref="J46" si="115">IFERROR(IF(B46&gt;1,B46,B46*100),"-")</f>
        <v>2</v>
      </c>
      <c r="K46" s="11">
        <f t="shared" ref="K46" si="116">IFERROR(IF(C46&gt;1,C46,C46*100),"-")</f>
        <v>27</v>
      </c>
      <c r="L46" s="11">
        <f t="shared" ref="L46" si="117">IFERROR(IF(D46&gt;1,D46,D46*100),"-")</f>
        <v>35</v>
      </c>
      <c r="M46" s="11">
        <f t="shared" ref="M46" si="118">IFERROR(IF(VALUE(E46)&lt;1,E46*1000,E46),"-")</f>
        <v>300</v>
      </c>
    </row>
    <row r="47" spans="1:13" hidden="1" x14ac:dyDescent="0.3">
      <c r="A47" s="15" t="s">
        <v>138</v>
      </c>
      <c r="B47" s="7">
        <v>0.02</v>
      </c>
      <c r="C47" s="7">
        <v>0.27</v>
      </c>
      <c r="D47" s="7">
        <v>0.35</v>
      </c>
      <c r="E47" s="4" t="s">
        <v>35</v>
      </c>
      <c r="F47" s="11">
        <f t="shared" ref="F47" si="119">IFERROR(B47*100,"-")</f>
        <v>2</v>
      </c>
      <c r="G47" s="11">
        <f t="shared" ref="G47" si="120">IFERROR(C47*100,"-")</f>
        <v>27</v>
      </c>
      <c r="H47" s="11">
        <f t="shared" ref="H47" si="121">IFERROR(D47*100,"-")</f>
        <v>35</v>
      </c>
      <c r="I47" s="11">
        <f t="shared" ref="I47" si="122">IFERROR(E47*1000,"-")</f>
        <v>300</v>
      </c>
      <c r="J47" s="11">
        <f t="shared" ref="J47" si="123">IFERROR(IF(B47&gt;1,B47,B47*100),"-")</f>
        <v>2</v>
      </c>
      <c r="K47" s="11">
        <f t="shared" ref="K47" si="124">IFERROR(IF(C47&gt;1,C47,C47*100),"-")</f>
        <v>27</v>
      </c>
      <c r="L47" s="11">
        <f t="shared" ref="L47" si="125">IFERROR(IF(D47&gt;1,D47,D47*100),"-")</f>
        <v>35</v>
      </c>
      <c r="M47" s="11">
        <f t="shared" ref="M47" si="126">IFERROR(IF(VALUE(E47)&lt;1,E47*1000,E47),"-")</f>
        <v>300</v>
      </c>
    </row>
    <row r="48" spans="1:13" hidden="1" x14ac:dyDescent="0.3">
      <c r="A48" s="16" t="s">
        <v>41</v>
      </c>
      <c r="B48" s="19" t="s">
        <v>62</v>
      </c>
      <c r="C48" s="19" t="s">
        <v>62</v>
      </c>
      <c r="D48" s="19" t="s">
        <v>62</v>
      </c>
      <c r="E48" s="20" t="s">
        <v>62</v>
      </c>
      <c r="F48" s="11" t="str">
        <f t="shared" si="15"/>
        <v>-</v>
      </c>
      <c r="G48" s="11" t="str">
        <f t="shared" si="16"/>
        <v>-</v>
      </c>
      <c r="H48" s="11" t="str">
        <f t="shared" si="17"/>
        <v>-</v>
      </c>
      <c r="I48" s="11" t="str">
        <f t="shared" si="18"/>
        <v>-</v>
      </c>
      <c r="J48" s="11" t="str">
        <f t="shared" si="6"/>
        <v>-</v>
      </c>
      <c r="K48" s="11" t="str">
        <f t="shared" si="7"/>
        <v>-</v>
      </c>
      <c r="L48" s="11" t="str">
        <f t="shared" si="8"/>
        <v>-</v>
      </c>
      <c r="M48" s="11" t="str">
        <f t="shared" si="9"/>
        <v>-</v>
      </c>
    </row>
    <row r="49" spans="1:13" hidden="1" x14ac:dyDescent="0.3">
      <c r="A49" s="15" t="s">
        <v>42</v>
      </c>
      <c r="B49" s="7">
        <v>0.01</v>
      </c>
      <c r="C49" s="7">
        <v>0.28999999999999998</v>
      </c>
      <c r="D49" s="7">
        <v>0.38</v>
      </c>
      <c r="E49" s="4" t="s">
        <v>27</v>
      </c>
      <c r="F49" s="11">
        <f t="shared" si="15"/>
        <v>1</v>
      </c>
      <c r="G49" s="11">
        <f t="shared" si="16"/>
        <v>28.999999999999996</v>
      </c>
      <c r="H49" s="11">
        <f t="shared" si="17"/>
        <v>38</v>
      </c>
      <c r="I49" s="11">
        <f t="shared" si="18"/>
        <v>200</v>
      </c>
      <c r="J49" s="11">
        <f t="shared" si="6"/>
        <v>1</v>
      </c>
      <c r="K49" s="11">
        <f t="shared" si="7"/>
        <v>28.999999999999996</v>
      </c>
      <c r="L49" s="11">
        <f t="shared" si="8"/>
        <v>38</v>
      </c>
      <c r="M49" s="11">
        <f t="shared" si="9"/>
        <v>200</v>
      </c>
    </row>
    <row r="50" spans="1:13" hidden="1" x14ac:dyDescent="0.3">
      <c r="A50" s="15" t="s">
        <v>139</v>
      </c>
      <c r="B50" s="7">
        <v>0.01</v>
      </c>
      <c r="C50" s="7">
        <v>0.28999999999999998</v>
      </c>
      <c r="D50" s="7">
        <v>0.38</v>
      </c>
      <c r="E50" s="4" t="s">
        <v>27</v>
      </c>
      <c r="F50" s="11">
        <f t="shared" ref="F50" si="127">IFERROR(B50*100,"-")</f>
        <v>1</v>
      </c>
      <c r="G50" s="11">
        <f t="shared" ref="G50" si="128">IFERROR(C50*100,"-")</f>
        <v>28.999999999999996</v>
      </c>
      <c r="H50" s="11">
        <f t="shared" ref="H50" si="129">IFERROR(D50*100,"-")</f>
        <v>38</v>
      </c>
      <c r="I50" s="11">
        <f t="shared" ref="I50" si="130">IFERROR(E50*1000,"-")</f>
        <v>200</v>
      </c>
      <c r="J50" s="11">
        <f t="shared" ref="J50" si="131">IFERROR(IF(B50&gt;1,B50,B50*100),"-")</f>
        <v>1</v>
      </c>
      <c r="K50" s="11">
        <f t="shared" ref="K50" si="132">IFERROR(IF(C50&gt;1,C50,C50*100),"-")</f>
        <v>28.999999999999996</v>
      </c>
      <c r="L50" s="11">
        <f t="shared" ref="L50" si="133">IFERROR(IF(D50&gt;1,D50,D50*100),"-")</f>
        <v>38</v>
      </c>
      <c r="M50" s="11">
        <f t="shared" ref="M50" si="134">IFERROR(IF(VALUE(E50)&lt;1,E50*1000,E50),"-")</f>
        <v>200</v>
      </c>
    </row>
    <row r="51" spans="1:13" hidden="1" x14ac:dyDescent="0.3">
      <c r="A51" s="15" t="s">
        <v>130</v>
      </c>
      <c r="B51" s="7">
        <v>0.01</v>
      </c>
      <c r="C51" s="7">
        <v>0.28999999999999998</v>
      </c>
      <c r="D51" s="7">
        <v>0.38</v>
      </c>
      <c r="E51" s="4" t="s">
        <v>27</v>
      </c>
      <c r="F51" s="11">
        <f t="shared" ref="F51" si="135">IFERROR(B51*100,"-")</f>
        <v>1</v>
      </c>
      <c r="G51" s="11">
        <f t="shared" ref="G51" si="136">IFERROR(C51*100,"-")</f>
        <v>28.999999999999996</v>
      </c>
      <c r="H51" s="11">
        <f t="shared" ref="H51" si="137">IFERROR(D51*100,"-")</f>
        <v>38</v>
      </c>
      <c r="I51" s="11">
        <f t="shared" ref="I51" si="138">IFERROR(E51*1000,"-")</f>
        <v>200</v>
      </c>
      <c r="J51" s="11">
        <f t="shared" ref="J51" si="139">IFERROR(IF(B51&gt;1,B51,B51*100),"-")</f>
        <v>1</v>
      </c>
      <c r="K51" s="11">
        <f t="shared" ref="K51" si="140">IFERROR(IF(C51&gt;1,C51,C51*100),"-")</f>
        <v>28.999999999999996</v>
      </c>
      <c r="L51" s="11">
        <f t="shared" ref="L51" si="141">IFERROR(IF(D51&gt;1,D51,D51*100),"-")</f>
        <v>38</v>
      </c>
      <c r="M51" s="11">
        <f t="shared" ref="M51" si="142">IFERROR(IF(VALUE(E51)&lt;1,E51*1000,E51),"-")</f>
        <v>200</v>
      </c>
    </row>
    <row r="52" spans="1:13" hidden="1" x14ac:dyDescent="0.3">
      <c r="A52" s="15" t="s">
        <v>198</v>
      </c>
      <c r="B52" s="7">
        <v>0.02</v>
      </c>
      <c r="C52" s="7">
        <v>0.27</v>
      </c>
      <c r="D52" s="7">
        <v>0.39</v>
      </c>
      <c r="E52" s="4" t="s">
        <v>44</v>
      </c>
      <c r="F52" s="11">
        <f t="shared" si="15"/>
        <v>2</v>
      </c>
      <c r="G52" s="11">
        <f t="shared" si="16"/>
        <v>27</v>
      </c>
      <c r="H52" s="11">
        <f t="shared" si="17"/>
        <v>39</v>
      </c>
      <c r="I52" s="11">
        <f t="shared" si="18"/>
        <v>553</v>
      </c>
      <c r="J52" s="11">
        <f t="shared" si="6"/>
        <v>2</v>
      </c>
      <c r="K52" s="11">
        <f t="shared" si="7"/>
        <v>27</v>
      </c>
      <c r="L52" s="11">
        <f t="shared" si="8"/>
        <v>39</v>
      </c>
      <c r="M52" s="11">
        <f t="shared" si="9"/>
        <v>553</v>
      </c>
    </row>
    <row r="53" spans="1:13" hidden="1" x14ac:dyDescent="0.3">
      <c r="A53" s="2" t="s">
        <v>45</v>
      </c>
      <c r="B53" s="17" t="s">
        <v>62</v>
      </c>
      <c r="C53" s="17" t="s">
        <v>62</v>
      </c>
      <c r="D53" s="17" t="s">
        <v>62</v>
      </c>
      <c r="E53" s="18" t="s">
        <v>62</v>
      </c>
      <c r="F53" s="11" t="str">
        <f t="shared" si="15"/>
        <v>-</v>
      </c>
      <c r="G53" s="11" t="str">
        <f t="shared" si="16"/>
        <v>-</v>
      </c>
      <c r="H53" s="11" t="str">
        <f t="shared" si="17"/>
        <v>-</v>
      </c>
      <c r="I53" s="11" t="str">
        <f t="shared" si="18"/>
        <v>-</v>
      </c>
      <c r="J53" s="11" t="str">
        <f t="shared" si="6"/>
        <v>-</v>
      </c>
      <c r="K53" s="11" t="str">
        <f t="shared" si="7"/>
        <v>-</v>
      </c>
      <c r="L53" s="11" t="str">
        <f t="shared" si="8"/>
        <v>-</v>
      </c>
      <c r="M53" s="11" t="str">
        <f t="shared" si="9"/>
        <v>-</v>
      </c>
    </row>
    <row r="54" spans="1:13" hidden="1" x14ac:dyDescent="0.3">
      <c r="A54" s="2" t="s">
        <v>47</v>
      </c>
      <c r="B54" s="10" t="s">
        <v>62</v>
      </c>
      <c r="C54" s="10" t="s">
        <v>62</v>
      </c>
      <c r="D54" s="10" t="s">
        <v>62</v>
      </c>
      <c r="E54" s="4" t="s">
        <v>62</v>
      </c>
      <c r="F54" s="11" t="str">
        <f t="shared" si="15"/>
        <v>-</v>
      </c>
      <c r="G54" s="11" t="str">
        <f t="shared" si="16"/>
        <v>-</v>
      </c>
      <c r="H54" s="11" t="str">
        <f t="shared" si="17"/>
        <v>-</v>
      </c>
      <c r="I54" s="11" t="str">
        <f t="shared" si="18"/>
        <v>-</v>
      </c>
      <c r="J54" s="11" t="str">
        <f t="shared" si="6"/>
        <v>-</v>
      </c>
      <c r="K54" s="11" t="str">
        <f t="shared" si="7"/>
        <v>-</v>
      </c>
      <c r="L54" s="11" t="str">
        <f t="shared" si="8"/>
        <v>-</v>
      </c>
      <c r="M54" s="11" t="str">
        <f t="shared" si="9"/>
        <v>-</v>
      </c>
    </row>
    <row r="55" spans="1:13" hidden="1" x14ac:dyDescent="0.3">
      <c r="A55" s="2" t="s">
        <v>49</v>
      </c>
      <c r="B55" s="10" t="s">
        <v>62</v>
      </c>
      <c r="C55" s="10" t="s">
        <v>62</v>
      </c>
      <c r="D55" s="10" t="s">
        <v>62</v>
      </c>
      <c r="E55" s="4" t="s">
        <v>62</v>
      </c>
      <c r="F55" s="11" t="str">
        <f t="shared" si="15"/>
        <v>-</v>
      </c>
      <c r="G55" s="11" t="str">
        <f t="shared" si="16"/>
        <v>-</v>
      </c>
      <c r="H55" s="11" t="str">
        <f t="shared" si="17"/>
        <v>-</v>
      </c>
      <c r="I55" s="11" t="str">
        <f t="shared" si="18"/>
        <v>-</v>
      </c>
      <c r="J55" s="11" t="str">
        <f t="shared" si="6"/>
        <v>-</v>
      </c>
      <c r="K55" s="11" t="str">
        <f t="shared" si="7"/>
        <v>-</v>
      </c>
      <c r="L55" s="11" t="str">
        <f t="shared" si="8"/>
        <v>-</v>
      </c>
      <c r="M55" s="11" t="str">
        <f t="shared" si="9"/>
        <v>-</v>
      </c>
    </row>
    <row r="56" spans="1:13" hidden="1" x14ac:dyDescent="0.3">
      <c r="A56" s="2" t="s">
        <v>50</v>
      </c>
      <c r="B56" s="7">
        <v>0.01</v>
      </c>
      <c r="C56" s="7">
        <v>0.31</v>
      </c>
      <c r="D56" s="7">
        <v>0.47</v>
      </c>
      <c r="E56" s="4" t="s">
        <v>27</v>
      </c>
      <c r="F56" s="11">
        <f t="shared" ref="F56" si="143">IFERROR(B56*100,"-")</f>
        <v>1</v>
      </c>
      <c r="G56" s="11">
        <f t="shared" ref="G56" si="144">IFERROR(C56*100,"-")</f>
        <v>31</v>
      </c>
      <c r="H56" s="11">
        <f t="shared" ref="H56" si="145">IFERROR(D56*100,"-")</f>
        <v>47</v>
      </c>
      <c r="I56" s="11">
        <f t="shared" ref="I56" si="146">IFERROR(E56*1000,"-")</f>
        <v>200</v>
      </c>
      <c r="J56" s="11">
        <f t="shared" ref="J56" si="147">IFERROR(IF(B56&gt;1,B56,B56*100),"-")</f>
        <v>1</v>
      </c>
      <c r="K56" s="11">
        <f t="shared" ref="K56" si="148">IFERROR(IF(C56&gt;1,C56,C56*100),"-")</f>
        <v>31</v>
      </c>
      <c r="L56" s="11">
        <f t="shared" ref="L56" si="149">IFERROR(IF(D56&gt;1,D56,D56*100),"-")</f>
        <v>47</v>
      </c>
      <c r="M56" s="11">
        <f t="shared" ref="M56" si="150">IFERROR(IF(VALUE(E56)&lt;1,E56*1000,E56),"-")</f>
        <v>200</v>
      </c>
    </row>
    <row r="57" spans="1:13" hidden="1" x14ac:dyDescent="0.3">
      <c r="A57" s="2" t="s">
        <v>133</v>
      </c>
      <c r="B57" s="7">
        <v>0.01</v>
      </c>
      <c r="C57" s="7">
        <v>0.31</v>
      </c>
      <c r="D57" s="7">
        <v>0.47</v>
      </c>
      <c r="E57" s="4" t="s">
        <v>27</v>
      </c>
      <c r="F57" s="11">
        <f t="shared" ref="F57:F58" si="151">IFERROR(B57*100,"-")</f>
        <v>1</v>
      </c>
      <c r="G57" s="11">
        <f t="shared" ref="G57:G58" si="152">IFERROR(C57*100,"-")</f>
        <v>31</v>
      </c>
      <c r="H57" s="11">
        <f t="shared" ref="H57:H58" si="153">IFERROR(D57*100,"-")</f>
        <v>47</v>
      </c>
      <c r="I57" s="11">
        <f t="shared" ref="I57:I58" si="154">IFERROR(E57*1000,"-")</f>
        <v>200</v>
      </c>
      <c r="J57" s="11">
        <f t="shared" ref="J57:J58" si="155">IFERROR(IF(B57&gt;1,B57,B57*100),"-")</f>
        <v>1</v>
      </c>
      <c r="K57" s="11">
        <f t="shared" ref="K57:K58" si="156">IFERROR(IF(C57&gt;1,C57,C57*100),"-")</f>
        <v>31</v>
      </c>
      <c r="L57" s="11">
        <f t="shared" ref="L57:L58" si="157">IFERROR(IF(D57&gt;1,D57,D57*100),"-")</f>
        <v>47</v>
      </c>
      <c r="M57" s="11">
        <f t="shared" ref="M57:M58" si="158">IFERROR(IF(VALUE(E57)&lt;1,E57*1000,E57),"-")</f>
        <v>200</v>
      </c>
    </row>
    <row r="58" spans="1:13" hidden="1" x14ac:dyDescent="0.3">
      <c r="A58" s="2" t="s">
        <v>202</v>
      </c>
      <c r="B58" s="7">
        <v>0.05</v>
      </c>
      <c r="C58" s="7">
        <v>0.2</v>
      </c>
      <c r="D58" s="7">
        <v>0.3</v>
      </c>
      <c r="E58" s="7" t="s">
        <v>137</v>
      </c>
      <c r="F58" s="11">
        <f t="shared" si="151"/>
        <v>5</v>
      </c>
      <c r="G58" s="11">
        <f t="shared" si="152"/>
        <v>20</v>
      </c>
      <c r="H58" s="11">
        <f t="shared" si="153"/>
        <v>30</v>
      </c>
      <c r="I58" s="11">
        <f t="shared" si="154"/>
        <v>293</v>
      </c>
      <c r="J58" s="11">
        <f t="shared" si="155"/>
        <v>5</v>
      </c>
      <c r="K58" s="11">
        <f t="shared" si="156"/>
        <v>20</v>
      </c>
      <c r="L58" s="11">
        <f t="shared" si="157"/>
        <v>30</v>
      </c>
      <c r="M58" s="11">
        <f t="shared" si="158"/>
        <v>293</v>
      </c>
    </row>
    <row r="59" spans="1:13" hidden="1" x14ac:dyDescent="0.3">
      <c r="A59" s="2" t="s">
        <v>51</v>
      </c>
      <c r="B59" s="7">
        <v>0.05</v>
      </c>
      <c r="C59" s="7">
        <v>0.2</v>
      </c>
      <c r="D59" s="7">
        <v>0.3</v>
      </c>
      <c r="E59" s="7" t="s">
        <v>137</v>
      </c>
      <c r="F59" s="11">
        <f t="shared" si="15"/>
        <v>5</v>
      </c>
      <c r="G59" s="11">
        <f t="shared" si="16"/>
        <v>20</v>
      </c>
      <c r="H59" s="11">
        <f t="shared" si="17"/>
        <v>30</v>
      </c>
      <c r="I59" s="11">
        <f t="shared" si="18"/>
        <v>293</v>
      </c>
      <c r="J59" s="11">
        <f t="shared" si="6"/>
        <v>5</v>
      </c>
      <c r="K59" s="11">
        <f t="shared" si="7"/>
        <v>20</v>
      </c>
      <c r="L59" s="11">
        <f t="shared" si="8"/>
        <v>30</v>
      </c>
      <c r="M59" s="11">
        <f t="shared" si="9"/>
        <v>293</v>
      </c>
    </row>
    <row r="60" spans="1:13" hidden="1" x14ac:dyDescent="0.3">
      <c r="A60" s="2" t="s">
        <v>136</v>
      </c>
      <c r="B60" s="7">
        <v>0.05</v>
      </c>
      <c r="C60" s="7">
        <v>0.2</v>
      </c>
      <c r="D60" s="7">
        <v>0.3</v>
      </c>
      <c r="E60" s="7" t="s">
        <v>137</v>
      </c>
      <c r="F60" s="11">
        <f t="shared" ref="F60:F61" si="159">IFERROR(B60*100,"-")</f>
        <v>5</v>
      </c>
      <c r="G60" s="11">
        <f t="shared" ref="G60:G61" si="160">IFERROR(C60*100,"-")</f>
        <v>20</v>
      </c>
      <c r="H60" s="11">
        <f t="shared" ref="H60:H61" si="161">IFERROR(D60*100,"-")</f>
        <v>30</v>
      </c>
      <c r="I60" s="11">
        <f t="shared" ref="I60:I61" si="162">IFERROR(E60*1000,"-")</f>
        <v>293</v>
      </c>
      <c r="J60" s="11">
        <f t="shared" ref="J60:J61" si="163">IFERROR(IF(B60&gt;1,B60,B60*100),"-")</f>
        <v>5</v>
      </c>
      <c r="K60" s="11">
        <f t="shared" ref="K60:K61" si="164">IFERROR(IF(C60&gt;1,C60,C60*100),"-")</f>
        <v>20</v>
      </c>
      <c r="L60" s="11">
        <f t="shared" ref="L60:L61" si="165">IFERROR(IF(D60&gt;1,D60,D60*100),"-")</f>
        <v>30</v>
      </c>
      <c r="M60" s="11">
        <f t="shared" ref="M60:M61" si="166">IFERROR(IF(VALUE(E60)&lt;1,E60*1000,E60),"-")</f>
        <v>293</v>
      </c>
    </row>
    <row r="61" spans="1:13" hidden="1" x14ac:dyDescent="0.3">
      <c r="A61" s="2" t="s">
        <v>52</v>
      </c>
      <c r="B61" s="7">
        <v>0.01</v>
      </c>
      <c r="C61" s="7">
        <v>0.28000000000000003</v>
      </c>
      <c r="D61" s="7">
        <v>0.33</v>
      </c>
      <c r="E61" s="4" t="s">
        <v>35</v>
      </c>
      <c r="F61" s="11">
        <f t="shared" si="159"/>
        <v>1</v>
      </c>
      <c r="G61" s="11">
        <f t="shared" si="160"/>
        <v>28.000000000000004</v>
      </c>
      <c r="H61" s="11">
        <f t="shared" si="161"/>
        <v>33</v>
      </c>
      <c r="I61" s="11">
        <f t="shared" si="162"/>
        <v>300</v>
      </c>
      <c r="J61" s="11">
        <f t="shared" si="163"/>
        <v>1</v>
      </c>
      <c r="K61" s="11">
        <f t="shared" si="164"/>
        <v>28.000000000000004</v>
      </c>
      <c r="L61" s="11">
        <f t="shared" si="165"/>
        <v>33</v>
      </c>
      <c r="M61" s="11">
        <f t="shared" si="166"/>
        <v>300</v>
      </c>
    </row>
    <row r="62" spans="1:13" hidden="1" x14ac:dyDescent="0.3">
      <c r="A62" s="2" t="s">
        <v>53</v>
      </c>
      <c r="B62" s="10" t="s">
        <v>62</v>
      </c>
      <c r="C62" s="10" t="s">
        <v>62</v>
      </c>
      <c r="D62" s="10" t="s">
        <v>62</v>
      </c>
      <c r="E62" s="4" t="s">
        <v>62</v>
      </c>
      <c r="F62" s="11" t="str">
        <f t="shared" si="15"/>
        <v>-</v>
      </c>
      <c r="G62" s="11" t="str">
        <f t="shared" si="16"/>
        <v>-</v>
      </c>
      <c r="H62" s="11" t="str">
        <f t="shared" si="17"/>
        <v>-</v>
      </c>
      <c r="I62" s="11" t="str">
        <f t="shared" si="18"/>
        <v>-</v>
      </c>
      <c r="J62" s="11" t="str">
        <f t="shared" si="6"/>
        <v>-</v>
      </c>
      <c r="K62" s="11" t="str">
        <f t="shared" si="7"/>
        <v>-</v>
      </c>
      <c r="L62" s="11" t="str">
        <f t="shared" si="8"/>
        <v>-</v>
      </c>
      <c r="M62" s="11" t="str">
        <f t="shared" si="9"/>
        <v>-</v>
      </c>
    </row>
    <row r="63" spans="1:13" hidden="1" x14ac:dyDescent="0.3">
      <c r="A63" s="2" t="s">
        <v>169</v>
      </c>
      <c r="B63" s="7">
        <v>0.01</v>
      </c>
      <c r="C63" s="10">
        <v>0.2</v>
      </c>
      <c r="D63" s="7">
        <v>0.32</v>
      </c>
      <c r="E63" s="4" t="s">
        <v>35</v>
      </c>
      <c r="F63" s="11">
        <f t="shared" ref="F63" si="167">IFERROR(B63*100,"-")</f>
        <v>1</v>
      </c>
      <c r="G63" s="11">
        <f t="shared" ref="G63" si="168">IFERROR(C63*100,"-")</f>
        <v>20</v>
      </c>
      <c r="H63" s="11">
        <f t="shared" ref="H63" si="169">IFERROR(D63*100,"-")</f>
        <v>32</v>
      </c>
      <c r="I63" s="11">
        <f t="shared" ref="I63" si="170">IFERROR(E63*1000,"-")</f>
        <v>300</v>
      </c>
      <c r="J63" s="11">
        <f t="shared" ref="J63" si="171">IFERROR(IF(B63&gt;1,B63,B63*100),"-")</f>
        <v>1</v>
      </c>
      <c r="K63" s="11">
        <f t="shared" ref="K63" si="172">IFERROR(IF(C63&gt;1,C63,C63*100),"-")</f>
        <v>20</v>
      </c>
      <c r="L63" s="11">
        <f t="shared" ref="L63" si="173">IFERROR(IF(D63&gt;1,D63,D63*100),"-")</f>
        <v>32</v>
      </c>
      <c r="M63" s="11">
        <f t="shared" ref="M63" si="174">IFERROR(IF(VALUE(E63)&lt;1,E63*1000,E63),"-")</f>
        <v>300</v>
      </c>
    </row>
    <row r="64" spans="1:13" hidden="1" x14ac:dyDescent="0.3">
      <c r="A64" s="2" t="s">
        <v>54</v>
      </c>
      <c r="B64" s="7">
        <v>0.01</v>
      </c>
      <c r="C64" s="10">
        <v>0.2</v>
      </c>
      <c r="D64" s="7">
        <v>0.32</v>
      </c>
      <c r="E64" s="4" t="s">
        <v>35</v>
      </c>
      <c r="F64" s="11">
        <f t="shared" si="15"/>
        <v>1</v>
      </c>
      <c r="G64" s="11">
        <f t="shared" si="16"/>
        <v>20</v>
      </c>
      <c r="H64" s="11">
        <f t="shared" si="17"/>
        <v>32</v>
      </c>
      <c r="I64" s="11">
        <f t="shared" si="18"/>
        <v>300</v>
      </c>
      <c r="J64" s="11">
        <f t="shared" si="6"/>
        <v>1</v>
      </c>
      <c r="K64" s="11">
        <f t="shared" si="7"/>
        <v>20</v>
      </c>
      <c r="L64" s="11">
        <f t="shared" si="8"/>
        <v>32</v>
      </c>
      <c r="M64" s="11">
        <f t="shared" si="9"/>
        <v>300</v>
      </c>
    </row>
    <row r="65" spans="1:13" hidden="1" x14ac:dyDescent="0.3">
      <c r="A65" s="2" t="s">
        <v>55</v>
      </c>
      <c r="B65" s="10" t="s">
        <v>62</v>
      </c>
      <c r="C65" s="10" t="s">
        <v>62</v>
      </c>
      <c r="D65" s="10" t="s">
        <v>62</v>
      </c>
      <c r="E65" s="4" t="s">
        <v>62</v>
      </c>
      <c r="F65" s="11" t="str">
        <f t="shared" si="15"/>
        <v>-</v>
      </c>
      <c r="G65" s="11" t="str">
        <f t="shared" si="16"/>
        <v>-</v>
      </c>
      <c r="H65" s="11" t="str">
        <f t="shared" si="17"/>
        <v>-</v>
      </c>
      <c r="I65" s="11" t="str">
        <f t="shared" si="18"/>
        <v>-</v>
      </c>
      <c r="J65" s="11" t="str">
        <f t="shared" si="6"/>
        <v>-</v>
      </c>
      <c r="K65" s="11" t="str">
        <f t="shared" si="7"/>
        <v>-</v>
      </c>
      <c r="L65" s="11" t="str">
        <f t="shared" si="8"/>
        <v>-</v>
      </c>
      <c r="M65" s="11" t="str">
        <f t="shared" si="9"/>
        <v>-</v>
      </c>
    </row>
    <row r="66" spans="1:13" hidden="1" x14ac:dyDescent="0.3">
      <c r="A66" s="2" t="s">
        <v>56</v>
      </c>
      <c r="B66" s="10">
        <v>0.01</v>
      </c>
      <c r="C66" s="10">
        <v>0.27</v>
      </c>
      <c r="D66" s="10">
        <v>0.28999999999999998</v>
      </c>
      <c r="E66" s="4" t="s">
        <v>27</v>
      </c>
      <c r="F66" s="11">
        <v>1</v>
      </c>
      <c r="G66" s="11">
        <v>27</v>
      </c>
      <c r="H66" s="11">
        <v>28.999999999999996</v>
      </c>
      <c r="I66" s="11">
        <v>200</v>
      </c>
      <c r="J66" s="11">
        <f t="shared" si="6"/>
        <v>1</v>
      </c>
      <c r="K66" s="11">
        <f t="shared" si="7"/>
        <v>27</v>
      </c>
      <c r="L66" s="11">
        <f t="shared" si="8"/>
        <v>28.999999999999996</v>
      </c>
      <c r="M66" s="11">
        <f t="shared" si="9"/>
        <v>200</v>
      </c>
    </row>
    <row r="67" spans="1:13" hidden="1" x14ac:dyDescent="0.3">
      <c r="A67" s="2" t="s">
        <v>115</v>
      </c>
      <c r="B67" s="10">
        <v>0.01</v>
      </c>
      <c r="C67" s="10">
        <v>0.27</v>
      </c>
      <c r="D67" s="10">
        <v>0.28999999999999998</v>
      </c>
      <c r="E67" s="4" t="s">
        <v>27</v>
      </c>
      <c r="F67" s="11">
        <v>1</v>
      </c>
      <c r="G67" s="11">
        <v>27</v>
      </c>
      <c r="H67" s="11">
        <v>28.999999999999996</v>
      </c>
      <c r="I67" s="11">
        <v>200</v>
      </c>
      <c r="J67" s="11">
        <f t="shared" si="6"/>
        <v>1</v>
      </c>
      <c r="K67" s="11">
        <f t="shared" si="7"/>
        <v>27</v>
      </c>
      <c r="L67" s="11">
        <f t="shared" si="8"/>
        <v>28.999999999999996</v>
      </c>
      <c r="M67" s="11">
        <f t="shared" si="9"/>
        <v>200</v>
      </c>
    </row>
    <row r="68" spans="1:13" hidden="1" x14ac:dyDescent="0.3">
      <c r="A68" s="2" t="s">
        <v>57</v>
      </c>
      <c r="B68" s="10" t="s">
        <v>62</v>
      </c>
      <c r="C68" s="10" t="s">
        <v>62</v>
      </c>
      <c r="D68" s="10" t="s">
        <v>62</v>
      </c>
      <c r="E68" s="4" t="s">
        <v>62</v>
      </c>
      <c r="F68" s="11" t="str">
        <f t="shared" si="15"/>
        <v>-</v>
      </c>
      <c r="G68" s="11" t="str">
        <f t="shared" si="16"/>
        <v>-</v>
      </c>
      <c r="H68" s="11" t="str">
        <f t="shared" si="17"/>
        <v>-</v>
      </c>
      <c r="I68" s="11" t="str">
        <f t="shared" si="18"/>
        <v>-</v>
      </c>
      <c r="J68" s="11" t="str">
        <f t="shared" si="6"/>
        <v>-</v>
      </c>
      <c r="K68" s="11" t="str">
        <f t="shared" si="7"/>
        <v>-</v>
      </c>
      <c r="L68" s="11" t="str">
        <f t="shared" si="8"/>
        <v>-</v>
      </c>
      <c r="M68" s="11" t="str">
        <f t="shared" si="9"/>
        <v>-</v>
      </c>
    </row>
    <row r="69" spans="1:13" hidden="1" x14ac:dyDescent="0.3">
      <c r="A69" s="2" t="s">
        <v>59</v>
      </c>
      <c r="B69" s="10" t="s">
        <v>62</v>
      </c>
      <c r="C69" s="10" t="s">
        <v>62</v>
      </c>
      <c r="D69" s="10" t="s">
        <v>62</v>
      </c>
      <c r="E69" s="4" t="s">
        <v>62</v>
      </c>
      <c r="F69" s="11" t="str">
        <f t="shared" si="15"/>
        <v>-</v>
      </c>
      <c r="G69" s="11" t="str">
        <f t="shared" si="16"/>
        <v>-</v>
      </c>
      <c r="H69" s="11" t="str">
        <f t="shared" si="17"/>
        <v>-</v>
      </c>
      <c r="I69" s="11" t="str">
        <f t="shared" si="18"/>
        <v>-</v>
      </c>
      <c r="J69" s="11" t="str">
        <f t="shared" si="6"/>
        <v>-</v>
      </c>
      <c r="K69" s="11" t="str">
        <f t="shared" si="7"/>
        <v>-</v>
      </c>
      <c r="L69" s="11" t="str">
        <f t="shared" si="8"/>
        <v>-</v>
      </c>
      <c r="M69" s="11" t="str">
        <f t="shared" si="9"/>
        <v>-</v>
      </c>
    </row>
    <row r="70" spans="1:13" hidden="1" x14ac:dyDescent="0.3">
      <c r="A70" s="2" t="s">
        <v>61</v>
      </c>
      <c r="B70" s="10" t="s">
        <v>62</v>
      </c>
      <c r="C70" s="10" t="s">
        <v>62</v>
      </c>
      <c r="D70" s="10" t="s">
        <v>62</v>
      </c>
      <c r="E70" s="4" t="s">
        <v>62</v>
      </c>
      <c r="F70" s="11" t="str">
        <f t="shared" si="15"/>
        <v>-</v>
      </c>
      <c r="G70" s="11" t="str">
        <f t="shared" si="16"/>
        <v>-</v>
      </c>
      <c r="H70" s="11" t="str">
        <f t="shared" si="17"/>
        <v>-</v>
      </c>
      <c r="I70" s="11" t="str">
        <f t="shared" si="18"/>
        <v>-</v>
      </c>
      <c r="J70" s="11" t="str">
        <f t="shared" si="6"/>
        <v>-</v>
      </c>
      <c r="K70" s="11" t="str">
        <f t="shared" si="7"/>
        <v>-</v>
      </c>
      <c r="L70" s="11" t="str">
        <f t="shared" si="8"/>
        <v>-</v>
      </c>
      <c r="M70" s="11" t="str">
        <f t="shared" si="9"/>
        <v>-</v>
      </c>
    </row>
    <row r="71" spans="1:13" hidden="1" x14ac:dyDescent="0.3">
      <c r="A71" s="2" t="s">
        <v>63</v>
      </c>
      <c r="B71" s="10" t="s">
        <v>62</v>
      </c>
      <c r="C71" s="10" t="s">
        <v>62</v>
      </c>
      <c r="D71" s="10" t="s">
        <v>62</v>
      </c>
      <c r="E71" s="4" t="s">
        <v>62</v>
      </c>
      <c r="F71" s="11" t="str">
        <f t="shared" si="15"/>
        <v>-</v>
      </c>
      <c r="G71" s="11" t="str">
        <f t="shared" si="16"/>
        <v>-</v>
      </c>
      <c r="H71" s="11" t="str">
        <f t="shared" si="17"/>
        <v>-</v>
      </c>
      <c r="I71" s="11" t="str">
        <f t="shared" si="18"/>
        <v>-</v>
      </c>
      <c r="J71" s="11" t="str">
        <f t="shared" si="6"/>
        <v>-</v>
      </c>
      <c r="K71" s="11" t="str">
        <f t="shared" si="7"/>
        <v>-</v>
      </c>
      <c r="L71" s="11" t="str">
        <f t="shared" si="8"/>
        <v>-</v>
      </c>
      <c r="M71" s="11" t="str">
        <f t="shared" si="9"/>
        <v>-</v>
      </c>
    </row>
    <row r="72" spans="1:13" hidden="1" x14ac:dyDescent="0.3">
      <c r="A72" s="2" t="s">
        <v>65</v>
      </c>
      <c r="B72" s="10" t="s">
        <v>62</v>
      </c>
      <c r="C72" s="10" t="s">
        <v>62</v>
      </c>
      <c r="D72" s="10" t="s">
        <v>62</v>
      </c>
      <c r="E72" s="4" t="s">
        <v>62</v>
      </c>
      <c r="F72" s="11" t="str">
        <f t="shared" si="15"/>
        <v>-</v>
      </c>
      <c r="G72" s="11" t="str">
        <f t="shared" si="16"/>
        <v>-</v>
      </c>
      <c r="H72" s="11" t="str">
        <f t="shared" si="17"/>
        <v>-</v>
      </c>
      <c r="I72" s="11" t="str">
        <f t="shared" si="18"/>
        <v>-</v>
      </c>
      <c r="J72" s="11" t="str">
        <f t="shared" si="6"/>
        <v>-</v>
      </c>
      <c r="K72" s="11" t="str">
        <f t="shared" si="7"/>
        <v>-</v>
      </c>
      <c r="L72" s="11" t="str">
        <f t="shared" si="8"/>
        <v>-</v>
      </c>
      <c r="M72" s="11" t="str">
        <f t="shared" si="9"/>
        <v>-</v>
      </c>
    </row>
    <row r="73" spans="1:13" hidden="1" x14ac:dyDescent="0.3">
      <c r="A73" s="2" t="s">
        <v>67</v>
      </c>
      <c r="B73" s="10" t="s">
        <v>62</v>
      </c>
      <c r="C73" s="10" t="s">
        <v>62</v>
      </c>
      <c r="D73" s="10" t="s">
        <v>62</v>
      </c>
      <c r="E73" s="4" t="s">
        <v>62</v>
      </c>
      <c r="F73" s="11" t="str">
        <f t="shared" si="15"/>
        <v>-</v>
      </c>
      <c r="G73" s="11" t="str">
        <f t="shared" si="16"/>
        <v>-</v>
      </c>
      <c r="H73" s="11" t="str">
        <f t="shared" si="17"/>
        <v>-</v>
      </c>
      <c r="I73" s="11" t="str">
        <f t="shared" si="18"/>
        <v>-</v>
      </c>
      <c r="J73" s="11" t="str">
        <f t="shared" si="6"/>
        <v>-</v>
      </c>
      <c r="K73" s="11" t="str">
        <f t="shared" si="7"/>
        <v>-</v>
      </c>
      <c r="L73" s="11" t="str">
        <f t="shared" si="8"/>
        <v>-</v>
      </c>
      <c r="M73" s="11" t="str">
        <f t="shared" si="9"/>
        <v>-</v>
      </c>
    </row>
    <row r="74" spans="1:13" hidden="1" x14ac:dyDescent="0.3">
      <c r="A74" s="2" t="s">
        <v>68</v>
      </c>
      <c r="B74" s="10" t="s">
        <v>62</v>
      </c>
      <c r="C74" s="10" t="s">
        <v>62</v>
      </c>
      <c r="D74" s="10" t="s">
        <v>62</v>
      </c>
      <c r="E74" s="4" t="s">
        <v>62</v>
      </c>
      <c r="F74" s="11" t="str">
        <f t="shared" si="15"/>
        <v>-</v>
      </c>
      <c r="G74" s="11" t="str">
        <f t="shared" si="16"/>
        <v>-</v>
      </c>
      <c r="H74" s="11" t="str">
        <f t="shared" si="17"/>
        <v>-</v>
      </c>
      <c r="I74" s="11" t="str">
        <f t="shared" si="18"/>
        <v>-</v>
      </c>
      <c r="J74" s="11" t="str">
        <f t="shared" si="6"/>
        <v>-</v>
      </c>
      <c r="K74" s="11" t="str">
        <f t="shared" si="7"/>
        <v>-</v>
      </c>
      <c r="L74" s="11" t="str">
        <f t="shared" si="8"/>
        <v>-</v>
      </c>
      <c r="M74" s="11" t="str">
        <f t="shared" si="9"/>
        <v>-</v>
      </c>
    </row>
    <row r="75" spans="1:13" hidden="1" x14ac:dyDescent="0.3">
      <c r="A75" s="2" t="s">
        <v>69</v>
      </c>
      <c r="B75" s="10" t="s">
        <v>62</v>
      </c>
      <c r="C75" s="10" t="s">
        <v>62</v>
      </c>
      <c r="D75" s="10" t="s">
        <v>62</v>
      </c>
      <c r="E75" s="4" t="s">
        <v>62</v>
      </c>
      <c r="F75" s="11" t="str">
        <f t="shared" si="15"/>
        <v>-</v>
      </c>
      <c r="G75" s="11" t="str">
        <f t="shared" si="16"/>
        <v>-</v>
      </c>
      <c r="H75" s="11" t="str">
        <f t="shared" si="17"/>
        <v>-</v>
      </c>
      <c r="I75" s="11" t="str">
        <f t="shared" si="18"/>
        <v>-</v>
      </c>
      <c r="J75" s="11" t="str">
        <f t="shared" si="6"/>
        <v>-</v>
      </c>
      <c r="K75" s="11" t="str">
        <f t="shared" si="7"/>
        <v>-</v>
      </c>
      <c r="L75" s="11" t="str">
        <f t="shared" si="8"/>
        <v>-</v>
      </c>
      <c r="M75" s="11" t="str">
        <f t="shared" si="9"/>
        <v>-</v>
      </c>
    </row>
    <row r="76" spans="1:13" hidden="1" x14ac:dyDescent="0.3">
      <c r="A76" s="2" t="s">
        <v>70</v>
      </c>
      <c r="B76" s="10" t="s">
        <v>62</v>
      </c>
      <c r="C76" s="10" t="s">
        <v>62</v>
      </c>
      <c r="D76" s="10" t="s">
        <v>62</v>
      </c>
      <c r="E76" s="4" t="s">
        <v>62</v>
      </c>
      <c r="F76" s="11" t="str">
        <f t="shared" si="15"/>
        <v>-</v>
      </c>
      <c r="G76" s="11" t="str">
        <f t="shared" si="16"/>
        <v>-</v>
      </c>
      <c r="H76" s="11" t="str">
        <f t="shared" si="17"/>
        <v>-</v>
      </c>
      <c r="I76" s="11" t="str">
        <f t="shared" si="18"/>
        <v>-</v>
      </c>
      <c r="J76" s="11" t="str">
        <f t="shared" si="6"/>
        <v>-</v>
      </c>
      <c r="K76" s="11" t="str">
        <f t="shared" si="7"/>
        <v>-</v>
      </c>
      <c r="L76" s="11" t="str">
        <f t="shared" si="8"/>
        <v>-</v>
      </c>
      <c r="M76" s="11" t="str">
        <f t="shared" si="9"/>
        <v>-</v>
      </c>
    </row>
    <row r="77" spans="1:13" hidden="1" x14ac:dyDescent="0.3">
      <c r="A77" s="2" t="s">
        <v>71</v>
      </c>
      <c r="B77" s="10" t="s">
        <v>62</v>
      </c>
      <c r="C77" s="10" t="s">
        <v>62</v>
      </c>
      <c r="D77" s="10" t="s">
        <v>62</v>
      </c>
      <c r="E77" s="4" t="s">
        <v>62</v>
      </c>
      <c r="F77" s="11" t="str">
        <f t="shared" si="15"/>
        <v>-</v>
      </c>
      <c r="G77" s="11" t="str">
        <f t="shared" si="16"/>
        <v>-</v>
      </c>
      <c r="H77" s="11" t="str">
        <f t="shared" si="17"/>
        <v>-</v>
      </c>
      <c r="I77" s="11" t="str">
        <f t="shared" si="18"/>
        <v>-</v>
      </c>
      <c r="J77" s="11" t="str">
        <f t="shared" si="6"/>
        <v>-</v>
      </c>
      <c r="K77" s="11" t="str">
        <f t="shared" si="7"/>
        <v>-</v>
      </c>
      <c r="L77" s="11" t="str">
        <f t="shared" si="8"/>
        <v>-</v>
      </c>
      <c r="M77" s="11" t="str">
        <f t="shared" si="9"/>
        <v>-</v>
      </c>
    </row>
    <row r="78" spans="1:13" hidden="1" x14ac:dyDescent="0.3">
      <c r="A78" s="2" t="s">
        <v>72</v>
      </c>
      <c r="B78" s="10" t="s">
        <v>62</v>
      </c>
      <c r="C78" s="10" t="s">
        <v>62</v>
      </c>
      <c r="D78" s="10" t="s">
        <v>62</v>
      </c>
      <c r="E78" s="4" t="s">
        <v>62</v>
      </c>
      <c r="F78" s="11" t="str">
        <f t="shared" si="15"/>
        <v>-</v>
      </c>
      <c r="G78" s="11" t="str">
        <f t="shared" si="16"/>
        <v>-</v>
      </c>
      <c r="H78" s="11" t="str">
        <f t="shared" si="17"/>
        <v>-</v>
      </c>
      <c r="I78" s="11" t="str">
        <f t="shared" si="18"/>
        <v>-</v>
      </c>
      <c r="J78" s="11" t="str">
        <f t="shared" si="6"/>
        <v>-</v>
      </c>
      <c r="K78" s="11" t="str">
        <f t="shared" si="7"/>
        <v>-</v>
      </c>
      <c r="L78" s="11" t="str">
        <f t="shared" si="8"/>
        <v>-</v>
      </c>
      <c r="M78" s="11" t="str">
        <f t="shared" si="9"/>
        <v>-</v>
      </c>
    </row>
    <row r="79" spans="1:13" hidden="1" x14ac:dyDescent="0.3">
      <c r="A79" s="2" t="s">
        <v>73</v>
      </c>
      <c r="B79" s="10" t="s">
        <v>62</v>
      </c>
      <c r="C79" s="10" t="s">
        <v>62</v>
      </c>
      <c r="D79" s="10" t="s">
        <v>62</v>
      </c>
      <c r="E79" s="4" t="s">
        <v>62</v>
      </c>
      <c r="F79" s="11" t="str">
        <f t="shared" si="15"/>
        <v>-</v>
      </c>
      <c r="G79" s="11" t="str">
        <f t="shared" si="16"/>
        <v>-</v>
      </c>
      <c r="H79" s="11" t="str">
        <f t="shared" si="17"/>
        <v>-</v>
      </c>
      <c r="I79" s="11" t="str">
        <f t="shared" si="18"/>
        <v>-</v>
      </c>
      <c r="J79" s="11" t="str">
        <f t="shared" si="6"/>
        <v>-</v>
      </c>
      <c r="K79" s="11" t="str">
        <f t="shared" si="7"/>
        <v>-</v>
      </c>
      <c r="L79" s="11" t="str">
        <f t="shared" si="8"/>
        <v>-</v>
      </c>
      <c r="M79" s="11" t="str">
        <f t="shared" si="9"/>
        <v>-</v>
      </c>
    </row>
    <row r="80" spans="1:13" hidden="1" x14ac:dyDescent="0.3">
      <c r="A80" s="2" t="s">
        <v>74</v>
      </c>
      <c r="B80" s="10" t="s">
        <v>62</v>
      </c>
      <c r="C80" s="10" t="s">
        <v>62</v>
      </c>
      <c r="D80" s="10" t="s">
        <v>62</v>
      </c>
      <c r="E80" s="4" t="s">
        <v>62</v>
      </c>
      <c r="F80" s="11" t="str">
        <f t="shared" si="15"/>
        <v>-</v>
      </c>
      <c r="G80" s="11" t="str">
        <f t="shared" si="16"/>
        <v>-</v>
      </c>
      <c r="H80" s="11" t="str">
        <f t="shared" si="17"/>
        <v>-</v>
      </c>
      <c r="I80" s="11" t="str">
        <f t="shared" si="18"/>
        <v>-</v>
      </c>
      <c r="J80" s="11" t="str">
        <f t="shared" si="6"/>
        <v>-</v>
      </c>
      <c r="K80" s="11" t="str">
        <f t="shared" si="7"/>
        <v>-</v>
      </c>
      <c r="L80" s="11" t="str">
        <f t="shared" si="8"/>
        <v>-</v>
      </c>
      <c r="M80" s="11" t="str">
        <f t="shared" si="9"/>
        <v>-</v>
      </c>
    </row>
    <row r="81" spans="1:13" hidden="1" x14ac:dyDescent="0.3">
      <c r="A81" s="2" t="s">
        <v>76</v>
      </c>
      <c r="B81" s="10" t="s">
        <v>62</v>
      </c>
      <c r="C81" s="10" t="s">
        <v>62</v>
      </c>
      <c r="D81" s="10" t="s">
        <v>62</v>
      </c>
      <c r="E81" s="4" t="s">
        <v>62</v>
      </c>
      <c r="F81" s="11" t="str">
        <f t="shared" si="15"/>
        <v>-</v>
      </c>
      <c r="G81" s="11" t="str">
        <f t="shared" si="16"/>
        <v>-</v>
      </c>
      <c r="H81" s="11" t="str">
        <f t="shared" si="17"/>
        <v>-</v>
      </c>
      <c r="I81" s="11" t="str">
        <f t="shared" si="18"/>
        <v>-</v>
      </c>
      <c r="J81" s="11" t="str">
        <f t="shared" si="6"/>
        <v>-</v>
      </c>
      <c r="K81" s="11" t="str">
        <f t="shared" si="7"/>
        <v>-</v>
      </c>
      <c r="L81" s="11" t="str">
        <f t="shared" si="8"/>
        <v>-</v>
      </c>
      <c r="M81" s="11" t="str">
        <f t="shared" si="9"/>
        <v>-</v>
      </c>
    </row>
    <row r="82" spans="1:13" hidden="1" x14ac:dyDescent="0.3">
      <c r="A82" s="2" t="s">
        <v>78</v>
      </c>
      <c r="B82" s="10" t="s">
        <v>62</v>
      </c>
      <c r="C82" s="10" t="s">
        <v>62</v>
      </c>
      <c r="D82" s="10" t="s">
        <v>62</v>
      </c>
      <c r="E82" s="4" t="s">
        <v>62</v>
      </c>
      <c r="F82" s="11" t="str">
        <f t="shared" si="15"/>
        <v>-</v>
      </c>
      <c r="G82" s="11" t="str">
        <f t="shared" si="16"/>
        <v>-</v>
      </c>
      <c r="H82" s="11" t="str">
        <f t="shared" si="17"/>
        <v>-</v>
      </c>
      <c r="I82" s="11" t="str">
        <f t="shared" si="18"/>
        <v>-</v>
      </c>
      <c r="J82" s="11" t="str">
        <f t="shared" si="6"/>
        <v>-</v>
      </c>
      <c r="K82" s="11" t="str">
        <f t="shared" si="7"/>
        <v>-</v>
      </c>
      <c r="L82" s="11" t="str">
        <f t="shared" si="8"/>
        <v>-</v>
      </c>
      <c r="M82" s="11" t="str">
        <f t="shared" si="9"/>
        <v>-</v>
      </c>
    </row>
    <row r="83" spans="1:13" hidden="1" x14ac:dyDescent="0.3">
      <c r="A83" s="2" t="s">
        <v>112</v>
      </c>
      <c r="B83" s="10">
        <v>0.06</v>
      </c>
      <c r="C83" s="10">
        <v>0.26</v>
      </c>
      <c r="D83" s="10">
        <v>0.1</v>
      </c>
      <c r="E83" s="4" t="s">
        <v>80</v>
      </c>
      <c r="F83" s="11">
        <v>6</v>
      </c>
      <c r="G83" s="11">
        <v>26</v>
      </c>
      <c r="H83" s="11">
        <v>10</v>
      </c>
      <c r="I83" s="11">
        <v>239</v>
      </c>
      <c r="J83" s="11">
        <f t="shared" si="6"/>
        <v>6</v>
      </c>
      <c r="K83" s="11">
        <f t="shared" si="7"/>
        <v>26</v>
      </c>
      <c r="L83" s="11">
        <f t="shared" si="8"/>
        <v>10</v>
      </c>
      <c r="M83" s="11">
        <f t="shared" si="9"/>
        <v>239</v>
      </c>
    </row>
    <row r="84" spans="1:13" hidden="1" x14ac:dyDescent="0.3">
      <c r="A84" s="2" t="s">
        <v>141</v>
      </c>
      <c r="B84" s="10">
        <v>0.06</v>
      </c>
      <c r="C84" s="10">
        <v>0.26</v>
      </c>
      <c r="D84" s="10">
        <v>0.1</v>
      </c>
      <c r="E84" s="4" t="s">
        <v>80</v>
      </c>
      <c r="F84" s="11">
        <v>6</v>
      </c>
      <c r="G84" s="11">
        <v>26</v>
      </c>
      <c r="H84" s="11">
        <v>10</v>
      </c>
      <c r="I84" s="11">
        <v>239</v>
      </c>
      <c r="J84" s="11">
        <f t="shared" ref="J84:J85" si="175">IFERROR(IF(B84&gt;1,B84,B84*100),"-")</f>
        <v>6</v>
      </c>
      <c r="K84" s="11">
        <f t="shared" ref="K84:K85" si="176">IFERROR(IF(C84&gt;1,C84,C84*100),"-")</f>
        <v>26</v>
      </c>
      <c r="L84" s="11">
        <f t="shared" ref="L84:L85" si="177">IFERROR(IF(D84&gt;1,D84,D84*100),"-")</f>
        <v>10</v>
      </c>
      <c r="M84" s="11">
        <f t="shared" ref="M84:M85" si="178">IFERROR(IF(VALUE(E84)&lt;1,E84*1000,E84),"-")</f>
        <v>239</v>
      </c>
    </row>
    <row r="85" spans="1:13" hidden="1" x14ac:dyDescent="0.3">
      <c r="A85" s="2" t="s">
        <v>227</v>
      </c>
      <c r="B85" s="10">
        <v>0.06</v>
      </c>
      <c r="C85" s="10">
        <v>0.26</v>
      </c>
      <c r="D85" s="10">
        <v>0.1</v>
      </c>
      <c r="E85" s="4" t="s">
        <v>80</v>
      </c>
      <c r="F85" s="11">
        <v>6</v>
      </c>
      <c r="G85" s="11">
        <v>26</v>
      </c>
      <c r="H85" s="11">
        <v>10</v>
      </c>
      <c r="I85" s="11">
        <v>239</v>
      </c>
      <c r="J85" s="11">
        <f t="shared" si="175"/>
        <v>6</v>
      </c>
      <c r="K85" s="11">
        <f t="shared" si="176"/>
        <v>26</v>
      </c>
      <c r="L85" s="11">
        <f t="shared" si="177"/>
        <v>10</v>
      </c>
      <c r="M85" s="11">
        <f t="shared" si="178"/>
        <v>239</v>
      </c>
    </row>
    <row r="86" spans="1:13" hidden="1" x14ac:dyDescent="0.3">
      <c r="A86" s="2" t="s">
        <v>210</v>
      </c>
      <c r="B86" s="10">
        <v>0.06</v>
      </c>
      <c r="C86" s="10">
        <v>0.26</v>
      </c>
      <c r="D86" s="10">
        <v>0.1</v>
      </c>
      <c r="E86" s="4" t="s">
        <v>80</v>
      </c>
      <c r="F86" s="11">
        <v>6</v>
      </c>
      <c r="G86" s="11">
        <v>26</v>
      </c>
      <c r="H86" s="11">
        <v>10</v>
      </c>
      <c r="I86" s="11">
        <v>239</v>
      </c>
      <c r="J86" s="11">
        <f t="shared" ref="J86" si="179">IFERROR(IF(B86&gt;1,B86,B86*100),"-")</f>
        <v>6</v>
      </c>
      <c r="K86" s="11">
        <f t="shared" ref="K86" si="180">IFERROR(IF(C86&gt;1,C86,C86*100),"-")</f>
        <v>26</v>
      </c>
      <c r="L86" s="11">
        <f t="shared" ref="L86" si="181">IFERROR(IF(D86&gt;1,D86,D86*100),"-")</f>
        <v>10</v>
      </c>
      <c r="M86" s="11">
        <f t="shared" ref="M86" si="182">IFERROR(IF(VALUE(E86)&lt;1,E86*1000,E86),"-")</f>
        <v>239</v>
      </c>
    </row>
    <row r="87" spans="1:13" hidden="1" x14ac:dyDescent="0.3">
      <c r="A87" s="2" t="s">
        <v>82</v>
      </c>
      <c r="B87" s="10" t="s">
        <v>62</v>
      </c>
      <c r="C87" s="10" t="s">
        <v>62</v>
      </c>
      <c r="D87" s="10" t="s">
        <v>62</v>
      </c>
      <c r="E87" s="4" t="s">
        <v>62</v>
      </c>
      <c r="F87" s="11" t="str">
        <f t="shared" si="15"/>
        <v>-</v>
      </c>
      <c r="G87" s="11" t="str">
        <f t="shared" si="16"/>
        <v>-</v>
      </c>
      <c r="H87" s="11" t="str">
        <f t="shared" si="17"/>
        <v>-</v>
      </c>
      <c r="I87" s="11" t="str">
        <f t="shared" si="18"/>
        <v>-</v>
      </c>
      <c r="J87" s="11" t="str">
        <f t="shared" si="6"/>
        <v>-</v>
      </c>
      <c r="K87" s="11" t="str">
        <f t="shared" si="7"/>
        <v>-</v>
      </c>
      <c r="L87" s="11" t="str">
        <f t="shared" si="8"/>
        <v>-</v>
      </c>
      <c r="M87" s="11" t="str">
        <f t="shared" si="9"/>
        <v>-</v>
      </c>
    </row>
    <row r="88" spans="1:13" hidden="1" x14ac:dyDescent="0.3">
      <c r="A88" s="2" t="s">
        <v>83</v>
      </c>
      <c r="B88" s="10" t="s">
        <v>62</v>
      </c>
      <c r="C88" s="10" t="s">
        <v>62</v>
      </c>
      <c r="D88" s="10" t="s">
        <v>62</v>
      </c>
      <c r="E88" s="4" t="s">
        <v>62</v>
      </c>
      <c r="F88" s="11" t="str">
        <f t="shared" si="15"/>
        <v>-</v>
      </c>
      <c r="G88" s="11" t="str">
        <f t="shared" si="16"/>
        <v>-</v>
      </c>
      <c r="H88" s="11" t="str">
        <f t="shared" si="17"/>
        <v>-</v>
      </c>
      <c r="I88" s="11" t="str">
        <f t="shared" si="18"/>
        <v>-</v>
      </c>
      <c r="J88" s="11" t="str">
        <f t="shared" si="6"/>
        <v>-</v>
      </c>
      <c r="K88" s="11" t="str">
        <f t="shared" si="7"/>
        <v>-</v>
      </c>
      <c r="L88" s="11" t="str">
        <f t="shared" si="8"/>
        <v>-</v>
      </c>
      <c r="M88" s="11" t="str">
        <f t="shared" si="9"/>
        <v>-</v>
      </c>
    </row>
    <row r="89" spans="1:13" hidden="1" x14ac:dyDescent="0.3">
      <c r="A89" s="2" t="s">
        <v>85</v>
      </c>
      <c r="B89" s="10">
        <v>0.03</v>
      </c>
      <c r="C89" s="10">
        <v>0.25</v>
      </c>
      <c r="D89" s="10">
        <v>0.25</v>
      </c>
      <c r="E89" s="4" t="s">
        <v>48</v>
      </c>
      <c r="F89" s="11">
        <v>3</v>
      </c>
      <c r="G89" s="11">
        <v>25</v>
      </c>
      <c r="H89" s="11">
        <v>25</v>
      </c>
      <c r="I89" s="11">
        <v>100</v>
      </c>
      <c r="J89" s="11">
        <f t="shared" si="6"/>
        <v>3</v>
      </c>
      <c r="K89" s="11">
        <f t="shared" si="7"/>
        <v>25</v>
      </c>
      <c r="L89" s="11">
        <f t="shared" si="8"/>
        <v>25</v>
      </c>
      <c r="M89" s="11">
        <f t="shared" si="9"/>
        <v>100</v>
      </c>
    </row>
    <row r="90" spans="1:13" hidden="1" x14ac:dyDescent="0.3">
      <c r="A90" s="2" t="s">
        <v>119</v>
      </c>
      <c r="B90" s="10">
        <v>0.03</v>
      </c>
      <c r="C90" s="10">
        <v>0.25</v>
      </c>
      <c r="D90" s="10">
        <v>0.25</v>
      </c>
      <c r="E90" s="4" t="s">
        <v>48</v>
      </c>
      <c r="F90" s="11">
        <v>3</v>
      </c>
      <c r="G90" s="11">
        <v>25</v>
      </c>
      <c r="H90" s="11">
        <v>25</v>
      </c>
      <c r="I90" s="11">
        <v>100</v>
      </c>
      <c r="J90" s="11">
        <f t="shared" si="6"/>
        <v>3</v>
      </c>
      <c r="K90" s="11">
        <f t="shared" si="7"/>
        <v>25</v>
      </c>
      <c r="L90" s="11">
        <f t="shared" si="8"/>
        <v>25</v>
      </c>
      <c r="M90" s="11">
        <f t="shared" si="9"/>
        <v>100</v>
      </c>
    </row>
    <row r="91" spans="1:13" hidden="1" x14ac:dyDescent="0.3">
      <c r="A91" s="2" t="s">
        <v>160</v>
      </c>
      <c r="B91" s="7">
        <v>0.03</v>
      </c>
      <c r="C91" s="7">
        <v>0.15</v>
      </c>
      <c r="D91" s="7">
        <v>0.3</v>
      </c>
      <c r="E91" s="4" t="s">
        <v>9</v>
      </c>
      <c r="F91" s="11">
        <f t="shared" ref="F91" si="183">IFERROR(B91*100,"-")</f>
        <v>3</v>
      </c>
      <c r="G91" s="11">
        <f t="shared" ref="G91" si="184">IFERROR(C91*100,"-")</f>
        <v>15</v>
      </c>
      <c r="H91" s="11">
        <f t="shared" ref="H91" si="185">IFERROR(D91*100,"-")</f>
        <v>30</v>
      </c>
      <c r="I91" s="11">
        <v>400</v>
      </c>
      <c r="J91" s="11">
        <f t="shared" ref="J91" si="186">IFERROR(IF(B91&gt;1,B91,B91*100),"-")</f>
        <v>3</v>
      </c>
      <c r="K91" s="11">
        <f t="shared" ref="K91" si="187">IFERROR(IF(C91&gt;1,C91,C91*100),"-")</f>
        <v>15</v>
      </c>
      <c r="L91" s="11">
        <f t="shared" ref="L91" si="188">IFERROR(IF(D91&gt;1,D91,D91*100),"-")</f>
        <v>30</v>
      </c>
      <c r="M91" s="11">
        <f>IFERROR(IF(VALUE(E91)&lt;1,E91*1000,E91),"-")</f>
        <v>400</v>
      </c>
    </row>
    <row r="92" spans="1:13" hidden="1" x14ac:dyDescent="0.3">
      <c r="A92" s="2" t="s">
        <v>158</v>
      </c>
      <c r="B92" s="7">
        <v>0.03</v>
      </c>
      <c r="C92" s="7">
        <v>0.15</v>
      </c>
      <c r="D92" s="7">
        <v>0.3</v>
      </c>
      <c r="E92" s="4" t="s">
        <v>9</v>
      </c>
      <c r="F92" s="11">
        <f t="shared" ref="F92:H92" si="189">IFERROR(B92*100,"-")</f>
        <v>3</v>
      </c>
      <c r="G92" s="11">
        <f t="shared" si="189"/>
        <v>15</v>
      </c>
      <c r="H92" s="11">
        <f t="shared" si="189"/>
        <v>30</v>
      </c>
      <c r="I92" s="11">
        <v>400</v>
      </c>
      <c r="J92" s="11">
        <f t="shared" si="6"/>
        <v>3</v>
      </c>
      <c r="K92" s="11">
        <f t="shared" si="7"/>
        <v>15</v>
      </c>
      <c r="L92" s="11">
        <f t="shared" si="8"/>
        <v>30</v>
      </c>
      <c r="M92" s="11">
        <f>IFERROR(IF(VALUE(E92)&lt;1,E92*1000,E92),"-")</f>
        <v>400</v>
      </c>
    </row>
    <row r="93" spans="1:13" hidden="1" x14ac:dyDescent="0.3">
      <c r="A93" s="2" t="s">
        <v>87</v>
      </c>
      <c r="B93" s="10" t="s">
        <v>62</v>
      </c>
      <c r="C93" s="10" t="s">
        <v>62</v>
      </c>
      <c r="D93" s="10" t="s">
        <v>62</v>
      </c>
      <c r="E93" s="4" t="s">
        <v>62</v>
      </c>
      <c r="F93" s="11" t="str">
        <f t="shared" si="15"/>
        <v>-</v>
      </c>
      <c r="G93" s="11" t="str">
        <f t="shared" si="16"/>
        <v>-</v>
      </c>
      <c r="H93" s="11" t="str">
        <f t="shared" si="17"/>
        <v>-</v>
      </c>
      <c r="I93" s="11" t="str">
        <f t="shared" si="18"/>
        <v>-</v>
      </c>
      <c r="J93" s="11" t="str">
        <f t="shared" si="6"/>
        <v>-</v>
      </c>
      <c r="K93" s="11" t="str">
        <f t="shared" si="7"/>
        <v>-</v>
      </c>
      <c r="L93" s="11" t="str">
        <f t="shared" si="8"/>
        <v>-</v>
      </c>
      <c r="M93" s="11" t="str">
        <f t="shared" si="9"/>
        <v>-</v>
      </c>
    </row>
    <row r="94" spans="1:13" hidden="1" x14ac:dyDescent="0.3">
      <c r="A94" s="2" t="s">
        <v>88</v>
      </c>
      <c r="B94" s="10" t="s">
        <v>62</v>
      </c>
      <c r="C94" s="10" t="s">
        <v>62</v>
      </c>
      <c r="D94" s="10" t="s">
        <v>62</v>
      </c>
      <c r="E94" s="4" t="s">
        <v>62</v>
      </c>
      <c r="F94" s="11" t="str">
        <f t="shared" si="15"/>
        <v>-</v>
      </c>
      <c r="G94" s="11" t="str">
        <f t="shared" si="16"/>
        <v>-</v>
      </c>
      <c r="H94" s="11" t="str">
        <f t="shared" si="17"/>
        <v>-</v>
      </c>
      <c r="I94" s="11" t="str">
        <f t="shared" si="18"/>
        <v>-</v>
      </c>
      <c r="J94" s="11" t="str">
        <f t="shared" si="6"/>
        <v>-</v>
      </c>
      <c r="K94" s="11" t="str">
        <f t="shared" si="7"/>
        <v>-</v>
      </c>
      <c r="L94" s="11" t="str">
        <f t="shared" si="8"/>
        <v>-</v>
      </c>
      <c r="M94" s="11" t="str">
        <f t="shared" si="9"/>
        <v>-</v>
      </c>
    </row>
    <row r="95" spans="1:13" hidden="1" x14ac:dyDescent="0.3">
      <c r="A95" s="2" t="s">
        <v>89</v>
      </c>
      <c r="B95" s="10" t="s">
        <v>62</v>
      </c>
      <c r="C95" s="10" t="s">
        <v>62</v>
      </c>
      <c r="D95" s="10" t="s">
        <v>62</v>
      </c>
      <c r="E95" s="4" t="s">
        <v>62</v>
      </c>
      <c r="F95" s="11" t="str">
        <f t="shared" si="15"/>
        <v>-</v>
      </c>
      <c r="G95" s="11" t="str">
        <f t="shared" si="16"/>
        <v>-</v>
      </c>
      <c r="H95" s="11" t="str">
        <f t="shared" si="17"/>
        <v>-</v>
      </c>
      <c r="I95" s="11" t="str">
        <f t="shared" si="18"/>
        <v>-</v>
      </c>
      <c r="J95" s="11" t="str">
        <f t="shared" si="6"/>
        <v>-</v>
      </c>
      <c r="K95" s="11" t="str">
        <f t="shared" si="7"/>
        <v>-</v>
      </c>
      <c r="L95" s="11" t="str">
        <f t="shared" si="8"/>
        <v>-</v>
      </c>
      <c r="M95" s="11" t="str">
        <f t="shared" si="9"/>
        <v>-</v>
      </c>
    </row>
    <row r="96" spans="1:13" x14ac:dyDescent="0.3">
      <c r="A96" s="2" t="s">
        <v>90</v>
      </c>
      <c r="B96" s="10" t="s">
        <v>62</v>
      </c>
      <c r="C96" s="10" t="s">
        <v>62</v>
      </c>
      <c r="D96" s="10" t="s">
        <v>62</v>
      </c>
      <c r="E96" s="4" t="s">
        <v>62</v>
      </c>
      <c r="F96" s="11" t="str">
        <f t="shared" si="15"/>
        <v>-</v>
      </c>
      <c r="G96" s="11" t="str">
        <f t="shared" si="16"/>
        <v>-</v>
      </c>
      <c r="H96" s="11" t="str">
        <f t="shared" si="17"/>
        <v>-</v>
      </c>
      <c r="I96" s="11" t="str">
        <f t="shared" si="18"/>
        <v>-</v>
      </c>
      <c r="J96" s="11" t="str">
        <f t="shared" si="6"/>
        <v>-</v>
      </c>
      <c r="K96" s="11" t="str">
        <f t="shared" si="7"/>
        <v>-</v>
      </c>
      <c r="L96" s="11" t="str">
        <f t="shared" si="8"/>
        <v>-</v>
      </c>
      <c r="M96" s="11" t="str">
        <f t="shared" si="9"/>
        <v>-</v>
      </c>
    </row>
    <row r="97" spans="1:1020 1025:2044 2049:3068 3073:4092 4097:5116 5121:6140 6145:7164 7169:8188 8193:9212 9217:10236 10241:11260 11265:12284 12289:13308 13313:14332 14337:15356 15361:16380" x14ac:dyDescent="0.3">
      <c r="A97" s="2" t="s">
        <v>113</v>
      </c>
      <c r="B97" s="10" t="s">
        <v>62</v>
      </c>
      <c r="C97" s="10" t="s">
        <v>62</v>
      </c>
      <c r="D97" s="10" t="s">
        <v>62</v>
      </c>
      <c r="E97" s="4" t="s">
        <v>62</v>
      </c>
      <c r="F97" s="11" t="str">
        <f t="shared" si="15"/>
        <v>-</v>
      </c>
      <c r="G97" s="11" t="str">
        <f t="shared" si="16"/>
        <v>-</v>
      </c>
      <c r="H97" s="11" t="str">
        <f t="shared" si="17"/>
        <v>-</v>
      </c>
      <c r="I97" s="11" t="str">
        <f t="shared" si="18"/>
        <v>-</v>
      </c>
      <c r="J97" s="11" t="str">
        <f t="shared" ref="J97:J118" si="190">IFERROR(IF(B97&gt;1,B97,B97*100),"-")</f>
        <v>-</v>
      </c>
      <c r="K97" s="11" t="str">
        <f t="shared" ref="K97:K118" si="191">IFERROR(IF(C97&gt;1,C97,C97*100),"-")</f>
        <v>-</v>
      </c>
      <c r="L97" s="11" t="str">
        <f t="shared" ref="L97:L118" si="192">IFERROR(IF(D97&gt;1,D97,D97*100),"-")</f>
        <v>-</v>
      </c>
      <c r="M97" s="11" t="str">
        <f t="shared" ref="M97:M118" si="193">IFERROR(IF(VALUE(E97)&lt;1,E97*1000,E97),"-")</f>
        <v>-</v>
      </c>
    </row>
    <row r="98" spans="1:1020 1025:2044 2049:3068 3073:4092 4097:5116 5121:6140 6145:7164 7169:8188 8193:9212 9217:10236 10241:11260 11265:12284 12289:13308 13313:14332 14337:15356 15361:16380" hidden="1" x14ac:dyDescent="0.3">
      <c r="A98" s="2" t="s">
        <v>92</v>
      </c>
      <c r="B98" s="10" t="s">
        <v>62</v>
      </c>
      <c r="C98" s="10" t="s">
        <v>62</v>
      </c>
      <c r="D98" s="10" t="s">
        <v>62</v>
      </c>
      <c r="E98" s="4" t="s">
        <v>62</v>
      </c>
      <c r="F98" s="11" t="str">
        <f t="shared" si="15"/>
        <v>-</v>
      </c>
      <c r="G98" s="11" t="str">
        <f t="shared" si="16"/>
        <v>-</v>
      </c>
      <c r="H98" s="11" t="str">
        <f t="shared" si="17"/>
        <v>-</v>
      </c>
      <c r="I98" s="11" t="str">
        <f t="shared" si="18"/>
        <v>-</v>
      </c>
      <c r="J98" s="11" t="str">
        <f t="shared" si="190"/>
        <v>-</v>
      </c>
      <c r="K98" s="11" t="str">
        <f t="shared" si="191"/>
        <v>-</v>
      </c>
      <c r="L98" s="11" t="str">
        <f t="shared" si="192"/>
        <v>-</v>
      </c>
      <c r="M98" s="11" t="str">
        <f t="shared" si="193"/>
        <v>-</v>
      </c>
    </row>
    <row r="99" spans="1:1020 1025:2044 2049:3068 3073:4092 4097:5116 5121:6140 6145:7164 7169:8188 8193:9212 9217:10236 10241:11260 11265:12284 12289:13308 13313:14332 14337:15356 15361:16380" hidden="1" x14ac:dyDescent="0.3">
      <c r="A99" s="2" t="s">
        <v>190</v>
      </c>
      <c r="B99" s="7">
        <v>0.06</v>
      </c>
      <c r="C99" s="7">
        <v>0.39</v>
      </c>
      <c r="D99" s="7">
        <v>0.48</v>
      </c>
      <c r="E99" s="4" t="s">
        <v>30</v>
      </c>
      <c r="F99" s="11">
        <f t="shared" ref="F99" si="194">IFERROR(B99*100,"-")</f>
        <v>6</v>
      </c>
      <c r="G99" s="11">
        <f t="shared" ref="G99" si="195">IFERROR(C99*100,"-")</f>
        <v>39</v>
      </c>
      <c r="H99" s="11">
        <f t="shared" ref="H99" si="196">IFERROR(D99*100,"-")</f>
        <v>48</v>
      </c>
      <c r="I99" s="11">
        <f t="shared" ref="I99" si="197">IFERROR(E99*1000,"-")</f>
        <v>500</v>
      </c>
      <c r="J99" s="11">
        <f t="shared" ref="J99" si="198">IFERROR(IF(B99&gt;1,B99,B99*100),"-")</f>
        <v>6</v>
      </c>
      <c r="K99" s="11">
        <f t="shared" ref="K99" si="199">IFERROR(IF(C99&gt;1,C99,C99*100),"-")</f>
        <v>39</v>
      </c>
      <c r="L99" s="11">
        <f t="shared" ref="L99" si="200">IFERROR(IF(D99&gt;1,D99,D99*100),"-")</f>
        <v>48</v>
      </c>
      <c r="M99" s="11">
        <f t="shared" ref="M99" si="201">IFERROR(IF(VALUE(E99)&lt;1,E99*1000,E99),"-")</f>
        <v>500</v>
      </c>
    </row>
    <row r="100" spans="1:1020 1025:2044 2049:3068 3073:4092 4097:5116 5121:6140 6145:7164 7169:8188 8193:9212 9217:10236 10241:11260 11265:12284 12289:13308 13313:14332 14337:15356 15361:16380" hidden="1" x14ac:dyDescent="0.3">
      <c r="A100" s="2" t="s">
        <v>93</v>
      </c>
      <c r="B100" s="7">
        <v>0.06</v>
      </c>
      <c r="C100" s="7">
        <v>0.39</v>
      </c>
      <c r="D100" s="7">
        <v>0.48</v>
      </c>
      <c r="E100" s="4" t="s">
        <v>30</v>
      </c>
      <c r="F100" s="11">
        <f t="shared" si="15"/>
        <v>6</v>
      </c>
      <c r="G100" s="11">
        <f t="shared" si="16"/>
        <v>39</v>
      </c>
      <c r="H100" s="11">
        <f t="shared" si="17"/>
        <v>48</v>
      </c>
      <c r="I100" s="11">
        <f t="shared" si="18"/>
        <v>500</v>
      </c>
      <c r="J100" s="11">
        <f t="shared" si="190"/>
        <v>6</v>
      </c>
      <c r="K100" s="11">
        <f t="shared" si="191"/>
        <v>39</v>
      </c>
      <c r="L100" s="11">
        <f t="shared" si="192"/>
        <v>48</v>
      </c>
      <c r="M100" s="11">
        <f t="shared" si="193"/>
        <v>500</v>
      </c>
    </row>
    <row r="101" spans="1:1020 1025:2044 2049:3068 3073:4092 4097:5116 5121:6140 6145:7164 7169:8188 8193:9212 9217:10236 10241:11260 11265:12284 12289:13308 13313:14332 14337:15356 15361:16380" hidden="1" x14ac:dyDescent="0.3">
      <c r="A101" s="2" t="s">
        <v>94</v>
      </c>
      <c r="B101" s="10" t="s">
        <v>62</v>
      </c>
      <c r="C101" s="10" t="s">
        <v>62</v>
      </c>
      <c r="D101" s="10" t="s">
        <v>62</v>
      </c>
      <c r="E101" s="4" t="s">
        <v>62</v>
      </c>
      <c r="F101" s="11" t="str">
        <f t="shared" si="15"/>
        <v>-</v>
      </c>
      <c r="G101" s="11" t="str">
        <f t="shared" si="16"/>
        <v>-</v>
      </c>
      <c r="H101" s="11" t="str">
        <f t="shared" si="17"/>
        <v>-</v>
      </c>
      <c r="I101" s="11" t="str">
        <f t="shared" si="18"/>
        <v>-</v>
      </c>
      <c r="J101" s="11" t="str">
        <f t="shared" si="190"/>
        <v>-</v>
      </c>
      <c r="K101" s="11" t="str">
        <f t="shared" si="191"/>
        <v>-</v>
      </c>
      <c r="L101" s="11" t="str">
        <f t="shared" si="192"/>
        <v>-</v>
      </c>
      <c r="M101" s="11" t="str">
        <f t="shared" si="193"/>
        <v>-</v>
      </c>
    </row>
    <row r="102" spans="1:1020 1025:2044 2049:3068 3073:4092 4097:5116 5121:6140 6145:7164 7169:8188 8193:9212 9217:10236 10241:11260 11265:12284 12289:13308 13313:14332 14337:15356 15361:16380" s="11" customFormat="1" hidden="1" x14ac:dyDescent="0.3">
      <c r="A102" s="33" t="s">
        <v>191</v>
      </c>
      <c r="B102" s="7">
        <v>0.03</v>
      </c>
      <c r="C102" s="7">
        <v>0.23</v>
      </c>
      <c r="D102" s="7">
        <v>0.17</v>
      </c>
      <c r="E102" s="4" t="s">
        <v>27</v>
      </c>
      <c r="F102" s="11">
        <f t="shared" ref="F102" si="202">IFERROR(B102*100,"-")</f>
        <v>3</v>
      </c>
      <c r="G102" s="11">
        <f t="shared" ref="G102" si="203">IFERROR(C102*100,"-")</f>
        <v>23</v>
      </c>
      <c r="H102" s="11">
        <f t="shared" ref="H102" si="204">IFERROR(D102*100,"-")</f>
        <v>17</v>
      </c>
      <c r="I102" s="11">
        <f t="shared" ref="I102" si="205">IFERROR(E102*1000,"-")</f>
        <v>200</v>
      </c>
      <c r="J102" s="11">
        <f t="shared" si="190"/>
        <v>3</v>
      </c>
      <c r="K102" s="11">
        <f t="shared" si="191"/>
        <v>23</v>
      </c>
      <c r="L102" s="11">
        <f t="shared" si="192"/>
        <v>17</v>
      </c>
      <c r="M102" s="11">
        <f t="shared" si="193"/>
        <v>200</v>
      </c>
      <c r="Q102" s="7"/>
      <c r="R102" s="7"/>
      <c r="S102" s="7"/>
      <c r="T102" s="4"/>
      <c r="Y102" s="7"/>
      <c r="Z102" s="7"/>
      <c r="AA102" s="7"/>
      <c r="AB102" s="4"/>
      <c r="AG102" s="7"/>
      <c r="AH102" s="7"/>
      <c r="AI102" s="7"/>
      <c r="AJ102" s="4"/>
      <c r="AO102" s="7"/>
      <c r="AP102" s="7"/>
      <c r="AQ102" s="7"/>
      <c r="AR102" s="4"/>
      <c r="AW102" s="7"/>
      <c r="AX102" s="7"/>
      <c r="AY102" s="7"/>
      <c r="AZ102" s="4"/>
      <c r="BE102" s="7"/>
      <c r="BF102" s="7"/>
      <c r="BG102" s="7"/>
      <c r="BH102" s="4"/>
      <c r="BM102" s="7"/>
      <c r="BN102" s="7"/>
      <c r="BO102" s="7"/>
      <c r="BP102" s="4"/>
      <c r="BU102" s="7"/>
      <c r="BV102" s="7"/>
      <c r="BW102" s="7"/>
      <c r="BX102" s="4"/>
      <c r="CC102" s="7"/>
      <c r="CD102" s="7"/>
      <c r="CE102" s="7"/>
      <c r="CF102" s="4"/>
      <c r="CK102" s="7"/>
      <c r="CL102" s="7"/>
      <c r="CM102" s="7"/>
      <c r="CN102" s="4"/>
      <c r="CS102" s="7"/>
      <c r="CT102" s="7"/>
      <c r="CU102" s="7"/>
      <c r="CV102" s="4"/>
      <c r="DA102" s="7"/>
      <c r="DB102" s="7"/>
      <c r="DC102" s="7"/>
      <c r="DD102" s="4"/>
      <c r="DI102" s="7"/>
      <c r="DJ102" s="7"/>
      <c r="DK102" s="7"/>
      <c r="DL102" s="4"/>
      <c r="DQ102" s="7"/>
      <c r="DR102" s="7"/>
      <c r="DS102" s="7"/>
      <c r="DT102" s="4"/>
      <c r="DY102" s="7"/>
      <c r="DZ102" s="7"/>
      <c r="EA102" s="7"/>
      <c r="EB102" s="4"/>
      <c r="EG102" s="7"/>
      <c r="EH102" s="7"/>
      <c r="EI102" s="7"/>
      <c r="EJ102" s="4"/>
      <c r="EO102" s="7"/>
      <c r="EP102" s="7"/>
      <c r="EQ102" s="7"/>
      <c r="ER102" s="4"/>
      <c r="EW102" s="7"/>
      <c r="EX102" s="7"/>
      <c r="EY102" s="7"/>
      <c r="EZ102" s="4"/>
      <c r="FE102" s="7"/>
      <c r="FF102" s="7"/>
      <c r="FG102" s="7"/>
      <c r="FH102" s="4"/>
      <c r="FM102" s="7"/>
      <c r="FN102" s="7"/>
      <c r="FO102" s="7"/>
      <c r="FP102" s="4"/>
      <c r="FU102" s="7"/>
      <c r="FV102" s="7"/>
      <c r="FW102" s="7"/>
      <c r="FX102" s="4"/>
      <c r="GC102" s="7"/>
      <c r="GD102" s="7"/>
      <c r="GE102" s="7"/>
      <c r="GF102" s="4"/>
      <c r="GK102" s="7"/>
      <c r="GL102" s="7"/>
      <c r="GM102" s="7"/>
      <c r="GN102" s="4"/>
      <c r="GS102" s="7"/>
      <c r="GT102" s="7"/>
      <c r="GU102" s="7"/>
      <c r="GV102" s="4"/>
      <c r="HA102" s="7"/>
      <c r="HB102" s="7"/>
      <c r="HC102" s="7"/>
      <c r="HD102" s="4"/>
      <c r="HI102" s="7"/>
      <c r="HJ102" s="7"/>
      <c r="HK102" s="7"/>
      <c r="HL102" s="4"/>
      <c r="HQ102" s="7"/>
      <c r="HR102" s="7"/>
      <c r="HS102" s="7"/>
      <c r="HT102" s="4"/>
      <c r="HY102" s="7"/>
      <c r="HZ102" s="7"/>
      <c r="IA102" s="7"/>
      <c r="IB102" s="4"/>
      <c r="IG102" s="7"/>
      <c r="IH102" s="7"/>
      <c r="II102" s="7"/>
      <c r="IJ102" s="4"/>
      <c r="IO102" s="7"/>
      <c r="IP102" s="7"/>
      <c r="IQ102" s="7"/>
      <c r="IR102" s="4"/>
      <c r="IW102" s="7"/>
      <c r="IX102" s="7"/>
      <c r="IY102" s="7"/>
      <c r="IZ102" s="4"/>
      <c r="JE102" s="7"/>
      <c r="JF102" s="7"/>
      <c r="JG102" s="7"/>
      <c r="JH102" s="4"/>
      <c r="JM102" s="7"/>
      <c r="JN102" s="7"/>
      <c r="JO102" s="7"/>
      <c r="JP102" s="4"/>
      <c r="JU102" s="7"/>
      <c r="JV102" s="7"/>
      <c r="JW102" s="7"/>
      <c r="JX102" s="4"/>
      <c r="KC102" s="7"/>
      <c r="KD102" s="7"/>
      <c r="KE102" s="7"/>
      <c r="KF102" s="4"/>
      <c r="KK102" s="7"/>
      <c r="KL102" s="7"/>
      <c r="KM102" s="7"/>
      <c r="KN102" s="4"/>
      <c r="KS102" s="7"/>
      <c r="KT102" s="7"/>
      <c r="KU102" s="7"/>
      <c r="KV102" s="4"/>
      <c r="LA102" s="7"/>
      <c r="LB102" s="7"/>
      <c r="LC102" s="7"/>
      <c r="LD102" s="4"/>
      <c r="LI102" s="7"/>
      <c r="LJ102" s="7"/>
      <c r="LK102" s="7"/>
      <c r="LL102" s="4"/>
      <c r="LQ102" s="7"/>
      <c r="LR102" s="7"/>
      <c r="LS102" s="7"/>
      <c r="LT102" s="4"/>
      <c r="LY102" s="7"/>
      <c r="LZ102" s="7"/>
      <c r="MA102" s="7"/>
      <c r="MB102" s="4"/>
      <c r="MG102" s="7"/>
      <c r="MH102" s="7"/>
      <c r="MI102" s="7"/>
      <c r="MJ102" s="4"/>
      <c r="MO102" s="7"/>
      <c r="MP102" s="7"/>
      <c r="MQ102" s="7"/>
      <c r="MR102" s="4"/>
      <c r="MW102" s="7"/>
      <c r="MX102" s="7"/>
      <c r="MY102" s="7"/>
      <c r="MZ102" s="4"/>
      <c r="NE102" s="7"/>
      <c r="NF102" s="7"/>
      <c r="NG102" s="7"/>
      <c r="NH102" s="4"/>
      <c r="NM102" s="7"/>
      <c r="NN102" s="7"/>
      <c r="NO102" s="7"/>
      <c r="NP102" s="4"/>
      <c r="NU102" s="7"/>
      <c r="NV102" s="7"/>
      <c r="NW102" s="7"/>
      <c r="NX102" s="4"/>
      <c r="OC102" s="7"/>
      <c r="OD102" s="7"/>
      <c r="OE102" s="7"/>
      <c r="OF102" s="4"/>
      <c r="OK102" s="7"/>
      <c r="OL102" s="7"/>
      <c r="OM102" s="7"/>
      <c r="ON102" s="4"/>
      <c r="OS102" s="7"/>
      <c r="OT102" s="7"/>
      <c r="OU102" s="7"/>
      <c r="OV102" s="4"/>
      <c r="PA102" s="7"/>
      <c r="PB102" s="7"/>
      <c r="PC102" s="7"/>
      <c r="PD102" s="4"/>
      <c r="PI102" s="7"/>
      <c r="PJ102" s="7"/>
      <c r="PK102" s="7"/>
      <c r="PL102" s="4"/>
      <c r="PQ102" s="7"/>
      <c r="PR102" s="7"/>
      <c r="PS102" s="7"/>
      <c r="PT102" s="4"/>
      <c r="PY102" s="7"/>
      <c r="PZ102" s="7"/>
      <c r="QA102" s="7"/>
      <c r="QB102" s="4"/>
      <c r="QG102" s="7"/>
      <c r="QH102" s="7"/>
      <c r="QI102" s="7"/>
      <c r="QJ102" s="4"/>
      <c r="QO102" s="7"/>
      <c r="QP102" s="7"/>
      <c r="QQ102" s="7"/>
      <c r="QR102" s="4"/>
      <c r="QW102" s="7"/>
      <c r="QX102" s="7"/>
      <c r="QY102" s="7"/>
      <c r="QZ102" s="4"/>
      <c r="RE102" s="7"/>
      <c r="RF102" s="7"/>
      <c r="RG102" s="7"/>
      <c r="RH102" s="4"/>
      <c r="RM102" s="7"/>
      <c r="RN102" s="7"/>
      <c r="RO102" s="7"/>
      <c r="RP102" s="4"/>
      <c r="RU102" s="7"/>
      <c r="RV102" s="7"/>
      <c r="RW102" s="7"/>
      <c r="RX102" s="4"/>
      <c r="SC102" s="7"/>
      <c r="SD102" s="7"/>
      <c r="SE102" s="7"/>
      <c r="SF102" s="4"/>
      <c r="SK102" s="7"/>
      <c r="SL102" s="7"/>
      <c r="SM102" s="7"/>
      <c r="SN102" s="4"/>
      <c r="SS102" s="7"/>
      <c r="ST102" s="7"/>
      <c r="SU102" s="7"/>
      <c r="SV102" s="4"/>
      <c r="TA102" s="7"/>
      <c r="TB102" s="7"/>
      <c r="TC102" s="7"/>
      <c r="TD102" s="4"/>
      <c r="TI102" s="7"/>
      <c r="TJ102" s="7"/>
      <c r="TK102" s="7"/>
      <c r="TL102" s="4"/>
      <c r="TQ102" s="7"/>
      <c r="TR102" s="7"/>
      <c r="TS102" s="7"/>
      <c r="TT102" s="4"/>
      <c r="TY102" s="7"/>
      <c r="TZ102" s="7"/>
      <c r="UA102" s="7"/>
      <c r="UB102" s="4"/>
      <c r="UG102" s="7"/>
      <c r="UH102" s="7"/>
      <c r="UI102" s="7"/>
      <c r="UJ102" s="4"/>
      <c r="UO102" s="7"/>
      <c r="UP102" s="7"/>
      <c r="UQ102" s="7"/>
      <c r="UR102" s="4"/>
      <c r="UW102" s="7"/>
      <c r="UX102" s="7"/>
      <c r="UY102" s="7"/>
      <c r="UZ102" s="4"/>
      <c r="VE102" s="7"/>
      <c r="VF102" s="7"/>
      <c r="VG102" s="7"/>
      <c r="VH102" s="4"/>
      <c r="VM102" s="7"/>
      <c r="VN102" s="7"/>
      <c r="VO102" s="7"/>
      <c r="VP102" s="4"/>
      <c r="VU102" s="7"/>
      <c r="VV102" s="7"/>
      <c r="VW102" s="7"/>
      <c r="VX102" s="4"/>
      <c r="WC102" s="7"/>
      <c r="WD102" s="7"/>
      <c r="WE102" s="7"/>
      <c r="WF102" s="4"/>
      <c r="WK102" s="7"/>
      <c r="WL102" s="7"/>
      <c r="WM102" s="7"/>
      <c r="WN102" s="4"/>
      <c r="WS102" s="7"/>
      <c r="WT102" s="7"/>
      <c r="WU102" s="7"/>
      <c r="WV102" s="4"/>
      <c r="XA102" s="7"/>
      <c r="XB102" s="7"/>
      <c r="XC102" s="7"/>
      <c r="XD102" s="4"/>
      <c r="XI102" s="7"/>
      <c r="XJ102" s="7"/>
      <c r="XK102" s="7"/>
      <c r="XL102" s="4"/>
      <c r="XQ102" s="7"/>
      <c r="XR102" s="7"/>
      <c r="XS102" s="7"/>
      <c r="XT102" s="4"/>
      <c r="XY102" s="7"/>
      <c r="XZ102" s="7"/>
      <c r="YA102" s="7"/>
      <c r="YB102" s="4"/>
      <c r="YG102" s="7"/>
      <c r="YH102" s="7"/>
      <c r="YI102" s="7"/>
      <c r="YJ102" s="4"/>
      <c r="YO102" s="7"/>
      <c r="YP102" s="7"/>
      <c r="YQ102" s="7"/>
      <c r="YR102" s="4"/>
      <c r="YW102" s="7"/>
      <c r="YX102" s="7"/>
      <c r="YY102" s="7"/>
      <c r="YZ102" s="4"/>
      <c r="ZE102" s="7"/>
      <c r="ZF102" s="7"/>
      <c r="ZG102" s="7"/>
      <c r="ZH102" s="4"/>
      <c r="ZM102" s="7"/>
      <c r="ZN102" s="7"/>
      <c r="ZO102" s="7"/>
      <c r="ZP102" s="4"/>
      <c r="ZU102" s="7"/>
      <c r="ZV102" s="7"/>
      <c r="ZW102" s="7"/>
      <c r="ZX102" s="4"/>
      <c r="AAC102" s="7"/>
      <c r="AAD102" s="7"/>
      <c r="AAE102" s="7"/>
      <c r="AAF102" s="4"/>
      <c r="AAK102" s="7"/>
      <c r="AAL102" s="7"/>
      <c r="AAM102" s="7"/>
      <c r="AAN102" s="4"/>
      <c r="AAS102" s="7"/>
      <c r="AAT102" s="7"/>
      <c r="AAU102" s="7"/>
      <c r="AAV102" s="4"/>
      <c r="ABA102" s="7"/>
      <c r="ABB102" s="7"/>
      <c r="ABC102" s="7"/>
      <c r="ABD102" s="4"/>
      <c r="ABI102" s="7"/>
      <c r="ABJ102" s="7"/>
      <c r="ABK102" s="7"/>
      <c r="ABL102" s="4"/>
      <c r="ABQ102" s="7"/>
      <c r="ABR102" s="7"/>
      <c r="ABS102" s="7"/>
      <c r="ABT102" s="4"/>
      <c r="ABY102" s="7"/>
      <c r="ABZ102" s="7"/>
      <c r="ACA102" s="7"/>
      <c r="ACB102" s="4"/>
      <c r="ACG102" s="7"/>
      <c r="ACH102" s="7"/>
      <c r="ACI102" s="7"/>
      <c r="ACJ102" s="4"/>
      <c r="ACO102" s="7"/>
      <c r="ACP102" s="7"/>
      <c r="ACQ102" s="7"/>
      <c r="ACR102" s="4"/>
      <c r="ACW102" s="7"/>
      <c r="ACX102" s="7"/>
      <c r="ACY102" s="7"/>
      <c r="ACZ102" s="4"/>
      <c r="ADE102" s="7"/>
      <c r="ADF102" s="7"/>
      <c r="ADG102" s="7"/>
      <c r="ADH102" s="4"/>
      <c r="ADM102" s="7"/>
      <c r="ADN102" s="7"/>
      <c r="ADO102" s="7"/>
      <c r="ADP102" s="4"/>
      <c r="ADU102" s="7"/>
      <c r="ADV102" s="7"/>
      <c r="ADW102" s="7"/>
      <c r="ADX102" s="4"/>
      <c r="AEC102" s="7"/>
      <c r="AED102" s="7"/>
      <c r="AEE102" s="7"/>
      <c r="AEF102" s="4"/>
      <c r="AEK102" s="7"/>
      <c r="AEL102" s="7"/>
      <c r="AEM102" s="7"/>
      <c r="AEN102" s="4"/>
      <c r="AES102" s="7"/>
      <c r="AET102" s="7"/>
      <c r="AEU102" s="7"/>
      <c r="AEV102" s="4"/>
      <c r="AFA102" s="7"/>
      <c r="AFB102" s="7"/>
      <c r="AFC102" s="7"/>
      <c r="AFD102" s="4"/>
      <c r="AFI102" s="7"/>
      <c r="AFJ102" s="7"/>
      <c r="AFK102" s="7"/>
      <c r="AFL102" s="4"/>
      <c r="AFQ102" s="7"/>
      <c r="AFR102" s="7"/>
      <c r="AFS102" s="7"/>
      <c r="AFT102" s="4"/>
      <c r="AFY102" s="7"/>
      <c r="AFZ102" s="7"/>
      <c r="AGA102" s="7"/>
      <c r="AGB102" s="4"/>
      <c r="AGG102" s="7"/>
      <c r="AGH102" s="7"/>
      <c r="AGI102" s="7"/>
      <c r="AGJ102" s="4"/>
      <c r="AGO102" s="7"/>
      <c r="AGP102" s="7"/>
      <c r="AGQ102" s="7"/>
      <c r="AGR102" s="4"/>
      <c r="AGW102" s="7"/>
      <c r="AGX102" s="7"/>
      <c r="AGY102" s="7"/>
      <c r="AGZ102" s="4"/>
      <c r="AHE102" s="7"/>
      <c r="AHF102" s="7"/>
      <c r="AHG102" s="7"/>
      <c r="AHH102" s="4"/>
      <c r="AHM102" s="7"/>
      <c r="AHN102" s="7"/>
      <c r="AHO102" s="7"/>
      <c r="AHP102" s="4"/>
      <c r="AHU102" s="7"/>
      <c r="AHV102" s="7"/>
      <c r="AHW102" s="7"/>
      <c r="AHX102" s="4"/>
      <c r="AIC102" s="7"/>
      <c r="AID102" s="7"/>
      <c r="AIE102" s="7"/>
      <c r="AIF102" s="4"/>
      <c r="AIK102" s="7"/>
      <c r="AIL102" s="7"/>
      <c r="AIM102" s="7"/>
      <c r="AIN102" s="4"/>
      <c r="AIS102" s="7"/>
      <c r="AIT102" s="7"/>
      <c r="AIU102" s="7"/>
      <c r="AIV102" s="4"/>
      <c r="AJA102" s="7"/>
      <c r="AJB102" s="7"/>
      <c r="AJC102" s="7"/>
      <c r="AJD102" s="4"/>
      <c r="AJI102" s="7"/>
      <c r="AJJ102" s="7"/>
      <c r="AJK102" s="7"/>
      <c r="AJL102" s="4"/>
      <c r="AJQ102" s="7"/>
      <c r="AJR102" s="7"/>
      <c r="AJS102" s="7"/>
      <c r="AJT102" s="4"/>
      <c r="AJY102" s="7"/>
      <c r="AJZ102" s="7"/>
      <c r="AKA102" s="7"/>
      <c r="AKB102" s="4"/>
      <c r="AKG102" s="7"/>
      <c r="AKH102" s="7"/>
      <c r="AKI102" s="7"/>
      <c r="AKJ102" s="4"/>
      <c r="AKO102" s="7"/>
      <c r="AKP102" s="7"/>
      <c r="AKQ102" s="7"/>
      <c r="AKR102" s="4"/>
      <c r="AKW102" s="7"/>
      <c r="AKX102" s="7"/>
      <c r="AKY102" s="7"/>
      <c r="AKZ102" s="4"/>
      <c r="ALE102" s="7"/>
      <c r="ALF102" s="7"/>
      <c r="ALG102" s="7"/>
      <c r="ALH102" s="4"/>
      <c r="ALM102" s="7"/>
      <c r="ALN102" s="7"/>
      <c r="ALO102" s="7"/>
      <c r="ALP102" s="4"/>
      <c r="ALU102" s="7"/>
      <c r="ALV102" s="7"/>
      <c r="ALW102" s="7"/>
      <c r="ALX102" s="4"/>
      <c r="AMC102" s="7"/>
      <c r="AMD102" s="7"/>
      <c r="AME102" s="7"/>
      <c r="AMF102" s="4"/>
      <c r="AMK102" s="7"/>
      <c r="AML102" s="7"/>
      <c r="AMM102" s="7"/>
      <c r="AMN102" s="4"/>
      <c r="AMS102" s="7"/>
      <c r="AMT102" s="7"/>
      <c r="AMU102" s="7"/>
      <c r="AMV102" s="4"/>
      <c r="ANA102" s="7"/>
      <c r="ANB102" s="7"/>
      <c r="ANC102" s="7"/>
      <c r="AND102" s="4"/>
      <c r="ANI102" s="7"/>
      <c r="ANJ102" s="7"/>
      <c r="ANK102" s="7"/>
      <c r="ANL102" s="4"/>
      <c r="ANQ102" s="7"/>
      <c r="ANR102" s="7"/>
      <c r="ANS102" s="7"/>
      <c r="ANT102" s="4"/>
      <c r="ANY102" s="7"/>
      <c r="ANZ102" s="7"/>
      <c r="AOA102" s="7"/>
      <c r="AOB102" s="4"/>
      <c r="AOG102" s="7"/>
      <c r="AOH102" s="7"/>
      <c r="AOI102" s="7"/>
      <c r="AOJ102" s="4"/>
      <c r="AOO102" s="7"/>
      <c r="AOP102" s="7"/>
      <c r="AOQ102" s="7"/>
      <c r="AOR102" s="4"/>
      <c r="AOW102" s="7"/>
      <c r="AOX102" s="7"/>
      <c r="AOY102" s="7"/>
      <c r="AOZ102" s="4"/>
      <c r="APE102" s="7"/>
      <c r="APF102" s="7"/>
      <c r="APG102" s="7"/>
      <c r="APH102" s="4"/>
      <c r="APM102" s="7"/>
      <c r="APN102" s="7"/>
      <c r="APO102" s="7"/>
      <c r="APP102" s="4"/>
      <c r="APU102" s="7"/>
      <c r="APV102" s="7"/>
      <c r="APW102" s="7"/>
      <c r="APX102" s="4"/>
      <c r="AQC102" s="7"/>
      <c r="AQD102" s="7"/>
      <c r="AQE102" s="7"/>
      <c r="AQF102" s="4"/>
      <c r="AQK102" s="7"/>
      <c r="AQL102" s="7"/>
      <c r="AQM102" s="7"/>
      <c r="AQN102" s="4"/>
      <c r="AQS102" s="7"/>
      <c r="AQT102" s="7"/>
      <c r="AQU102" s="7"/>
      <c r="AQV102" s="4"/>
      <c r="ARA102" s="7"/>
      <c r="ARB102" s="7"/>
      <c r="ARC102" s="7"/>
      <c r="ARD102" s="4"/>
      <c r="ARI102" s="7"/>
      <c r="ARJ102" s="7"/>
      <c r="ARK102" s="7"/>
      <c r="ARL102" s="4"/>
      <c r="ARQ102" s="7"/>
      <c r="ARR102" s="7"/>
      <c r="ARS102" s="7"/>
      <c r="ART102" s="4"/>
      <c r="ARY102" s="7"/>
      <c r="ARZ102" s="7"/>
      <c r="ASA102" s="7"/>
      <c r="ASB102" s="4"/>
      <c r="ASG102" s="7"/>
      <c r="ASH102" s="7"/>
      <c r="ASI102" s="7"/>
      <c r="ASJ102" s="4"/>
      <c r="ASO102" s="7"/>
      <c r="ASP102" s="7"/>
      <c r="ASQ102" s="7"/>
      <c r="ASR102" s="4"/>
      <c r="ASW102" s="7"/>
      <c r="ASX102" s="7"/>
      <c r="ASY102" s="7"/>
      <c r="ASZ102" s="4"/>
      <c r="ATE102" s="7"/>
      <c r="ATF102" s="7"/>
      <c r="ATG102" s="7"/>
      <c r="ATH102" s="4"/>
      <c r="ATM102" s="7"/>
      <c r="ATN102" s="7"/>
      <c r="ATO102" s="7"/>
      <c r="ATP102" s="4"/>
      <c r="ATU102" s="7"/>
      <c r="ATV102" s="7"/>
      <c r="ATW102" s="7"/>
      <c r="ATX102" s="4"/>
      <c r="AUC102" s="7"/>
      <c r="AUD102" s="7"/>
      <c r="AUE102" s="7"/>
      <c r="AUF102" s="4"/>
      <c r="AUK102" s="7"/>
      <c r="AUL102" s="7"/>
      <c r="AUM102" s="7"/>
      <c r="AUN102" s="4"/>
      <c r="AUS102" s="7"/>
      <c r="AUT102" s="7"/>
      <c r="AUU102" s="7"/>
      <c r="AUV102" s="4"/>
      <c r="AVA102" s="7"/>
      <c r="AVB102" s="7"/>
      <c r="AVC102" s="7"/>
      <c r="AVD102" s="4"/>
      <c r="AVI102" s="7"/>
      <c r="AVJ102" s="7"/>
      <c r="AVK102" s="7"/>
      <c r="AVL102" s="4"/>
      <c r="AVQ102" s="7"/>
      <c r="AVR102" s="7"/>
      <c r="AVS102" s="7"/>
      <c r="AVT102" s="4"/>
      <c r="AVY102" s="7"/>
      <c r="AVZ102" s="7"/>
      <c r="AWA102" s="7"/>
      <c r="AWB102" s="4"/>
      <c r="AWG102" s="7"/>
      <c r="AWH102" s="7"/>
      <c r="AWI102" s="7"/>
      <c r="AWJ102" s="4"/>
      <c r="AWO102" s="7"/>
      <c r="AWP102" s="7"/>
      <c r="AWQ102" s="7"/>
      <c r="AWR102" s="4"/>
      <c r="AWW102" s="7"/>
      <c r="AWX102" s="7"/>
      <c r="AWY102" s="7"/>
      <c r="AWZ102" s="4"/>
      <c r="AXE102" s="7"/>
      <c r="AXF102" s="7"/>
      <c r="AXG102" s="7"/>
      <c r="AXH102" s="4"/>
      <c r="AXM102" s="7"/>
      <c r="AXN102" s="7"/>
      <c r="AXO102" s="7"/>
      <c r="AXP102" s="4"/>
      <c r="AXU102" s="7"/>
      <c r="AXV102" s="7"/>
      <c r="AXW102" s="7"/>
      <c r="AXX102" s="4"/>
      <c r="AYC102" s="7"/>
      <c r="AYD102" s="7"/>
      <c r="AYE102" s="7"/>
      <c r="AYF102" s="4"/>
      <c r="AYK102" s="7"/>
      <c r="AYL102" s="7"/>
      <c r="AYM102" s="7"/>
      <c r="AYN102" s="4"/>
      <c r="AYS102" s="7"/>
      <c r="AYT102" s="7"/>
      <c r="AYU102" s="7"/>
      <c r="AYV102" s="4"/>
      <c r="AZA102" s="7"/>
      <c r="AZB102" s="7"/>
      <c r="AZC102" s="7"/>
      <c r="AZD102" s="4"/>
      <c r="AZI102" s="7"/>
      <c r="AZJ102" s="7"/>
      <c r="AZK102" s="7"/>
      <c r="AZL102" s="4"/>
      <c r="AZQ102" s="7"/>
      <c r="AZR102" s="7"/>
      <c r="AZS102" s="7"/>
      <c r="AZT102" s="4"/>
      <c r="AZY102" s="7"/>
      <c r="AZZ102" s="7"/>
      <c r="BAA102" s="7"/>
      <c r="BAB102" s="4"/>
      <c r="BAG102" s="7"/>
      <c r="BAH102" s="7"/>
      <c r="BAI102" s="7"/>
      <c r="BAJ102" s="4"/>
      <c r="BAO102" s="7"/>
      <c r="BAP102" s="7"/>
      <c r="BAQ102" s="7"/>
      <c r="BAR102" s="4"/>
      <c r="BAW102" s="7"/>
      <c r="BAX102" s="7"/>
      <c r="BAY102" s="7"/>
      <c r="BAZ102" s="4"/>
      <c r="BBE102" s="7"/>
      <c r="BBF102" s="7"/>
      <c r="BBG102" s="7"/>
      <c r="BBH102" s="4"/>
      <c r="BBM102" s="7"/>
      <c r="BBN102" s="7"/>
      <c r="BBO102" s="7"/>
      <c r="BBP102" s="4"/>
      <c r="BBU102" s="7"/>
      <c r="BBV102" s="7"/>
      <c r="BBW102" s="7"/>
      <c r="BBX102" s="4"/>
      <c r="BCC102" s="7"/>
      <c r="BCD102" s="7"/>
      <c r="BCE102" s="7"/>
      <c r="BCF102" s="4"/>
      <c r="BCK102" s="7"/>
      <c r="BCL102" s="7"/>
      <c r="BCM102" s="7"/>
      <c r="BCN102" s="4"/>
      <c r="BCS102" s="7"/>
      <c r="BCT102" s="7"/>
      <c r="BCU102" s="7"/>
      <c r="BCV102" s="4"/>
      <c r="BDA102" s="7"/>
      <c r="BDB102" s="7"/>
      <c r="BDC102" s="7"/>
      <c r="BDD102" s="4"/>
      <c r="BDI102" s="7"/>
      <c r="BDJ102" s="7"/>
      <c r="BDK102" s="7"/>
      <c r="BDL102" s="4"/>
      <c r="BDQ102" s="7"/>
      <c r="BDR102" s="7"/>
      <c r="BDS102" s="7"/>
      <c r="BDT102" s="4"/>
      <c r="BDY102" s="7"/>
      <c r="BDZ102" s="7"/>
      <c r="BEA102" s="7"/>
      <c r="BEB102" s="4"/>
      <c r="BEG102" s="7"/>
      <c r="BEH102" s="7"/>
      <c r="BEI102" s="7"/>
      <c r="BEJ102" s="4"/>
      <c r="BEO102" s="7"/>
      <c r="BEP102" s="7"/>
      <c r="BEQ102" s="7"/>
      <c r="BER102" s="4"/>
      <c r="BEW102" s="7"/>
      <c r="BEX102" s="7"/>
      <c r="BEY102" s="7"/>
      <c r="BEZ102" s="4"/>
      <c r="BFE102" s="7"/>
      <c r="BFF102" s="7"/>
      <c r="BFG102" s="7"/>
      <c r="BFH102" s="4"/>
      <c r="BFM102" s="7"/>
      <c r="BFN102" s="7"/>
      <c r="BFO102" s="7"/>
      <c r="BFP102" s="4"/>
      <c r="BFU102" s="7"/>
      <c r="BFV102" s="7"/>
      <c r="BFW102" s="7"/>
      <c r="BFX102" s="4"/>
      <c r="BGC102" s="7"/>
      <c r="BGD102" s="7"/>
      <c r="BGE102" s="7"/>
      <c r="BGF102" s="4"/>
      <c r="BGK102" s="7"/>
      <c r="BGL102" s="7"/>
      <c r="BGM102" s="7"/>
      <c r="BGN102" s="4"/>
      <c r="BGS102" s="7"/>
      <c r="BGT102" s="7"/>
      <c r="BGU102" s="7"/>
      <c r="BGV102" s="4"/>
      <c r="BHA102" s="7"/>
      <c r="BHB102" s="7"/>
      <c r="BHC102" s="7"/>
      <c r="BHD102" s="4"/>
      <c r="BHI102" s="7"/>
      <c r="BHJ102" s="7"/>
      <c r="BHK102" s="7"/>
      <c r="BHL102" s="4"/>
      <c r="BHQ102" s="7"/>
      <c r="BHR102" s="7"/>
      <c r="BHS102" s="7"/>
      <c r="BHT102" s="4"/>
      <c r="BHY102" s="7"/>
      <c r="BHZ102" s="7"/>
      <c r="BIA102" s="7"/>
      <c r="BIB102" s="4"/>
      <c r="BIG102" s="7"/>
      <c r="BIH102" s="7"/>
      <c r="BII102" s="7"/>
      <c r="BIJ102" s="4"/>
      <c r="BIO102" s="7"/>
      <c r="BIP102" s="7"/>
      <c r="BIQ102" s="7"/>
      <c r="BIR102" s="4"/>
      <c r="BIW102" s="7"/>
      <c r="BIX102" s="7"/>
      <c r="BIY102" s="7"/>
      <c r="BIZ102" s="4"/>
      <c r="BJE102" s="7"/>
      <c r="BJF102" s="7"/>
      <c r="BJG102" s="7"/>
      <c r="BJH102" s="4"/>
      <c r="BJM102" s="7"/>
      <c r="BJN102" s="7"/>
      <c r="BJO102" s="7"/>
      <c r="BJP102" s="4"/>
      <c r="BJU102" s="7"/>
      <c r="BJV102" s="7"/>
      <c r="BJW102" s="7"/>
      <c r="BJX102" s="4"/>
      <c r="BKC102" s="7"/>
      <c r="BKD102" s="7"/>
      <c r="BKE102" s="7"/>
      <c r="BKF102" s="4"/>
      <c r="BKK102" s="7"/>
      <c r="BKL102" s="7"/>
      <c r="BKM102" s="7"/>
      <c r="BKN102" s="4"/>
      <c r="BKS102" s="7"/>
      <c r="BKT102" s="7"/>
      <c r="BKU102" s="7"/>
      <c r="BKV102" s="4"/>
      <c r="BLA102" s="7"/>
      <c r="BLB102" s="7"/>
      <c r="BLC102" s="7"/>
      <c r="BLD102" s="4"/>
      <c r="BLI102" s="7"/>
      <c r="BLJ102" s="7"/>
      <c r="BLK102" s="7"/>
      <c r="BLL102" s="4"/>
      <c r="BLQ102" s="7"/>
      <c r="BLR102" s="7"/>
      <c r="BLS102" s="7"/>
      <c r="BLT102" s="4"/>
      <c r="BLY102" s="7"/>
      <c r="BLZ102" s="7"/>
      <c r="BMA102" s="7"/>
      <c r="BMB102" s="4"/>
      <c r="BMG102" s="7"/>
      <c r="BMH102" s="7"/>
      <c r="BMI102" s="7"/>
      <c r="BMJ102" s="4"/>
      <c r="BMO102" s="7"/>
      <c r="BMP102" s="7"/>
      <c r="BMQ102" s="7"/>
      <c r="BMR102" s="4"/>
      <c r="BMW102" s="7"/>
      <c r="BMX102" s="7"/>
      <c r="BMY102" s="7"/>
      <c r="BMZ102" s="4"/>
      <c r="BNE102" s="7"/>
      <c r="BNF102" s="7"/>
      <c r="BNG102" s="7"/>
      <c r="BNH102" s="4"/>
      <c r="BNM102" s="7"/>
      <c r="BNN102" s="7"/>
      <c r="BNO102" s="7"/>
      <c r="BNP102" s="4"/>
      <c r="BNU102" s="7"/>
      <c r="BNV102" s="7"/>
      <c r="BNW102" s="7"/>
      <c r="BNX102" s="4"/>
      <c r="BOC102" s="7"/>
      <c r="BOD102" s="7"/>
      <c r="BOE102" s="7"/>
      <c r="BOF102" s="4"/>
      <c r="BOK102" s="7"/>
      <c r="BOL102" s="7"/>
      <c r="BOM102" s="7"/>
      <c r="BON102" s="4"/>
      <c r="BOS102" s="7"/>
      <c r="BOT102" s="7"/>
      <c r="BOU102" s="7"/>
      <c r="BOV102" s="4"/>
      <c r="BPA102" s="7"/>
      <c r="BPB102" s="7"/>
      <c r="BPC102" s="7"/>
      <c r="BPD102" s="4"/>
      <c r="BPI102" s="7"/>
      <c r="BPJ102" s="7"/>
      <c r="BPK102" s="7"/>
      <c r="BPL102" s="4"/>
      <c r="BPQ102" s="7"/>
      <c r="BPR102" s="7"/>
      <c r="BPS102" s="7"/>
      <c r="BPT102" s="4"/>
      <c r="BPY102" s="7"/>
      <c r="BPZ102" s="7"/>
      <c r="BQA102" s="7"/>
      <c r="BQB102" s="4"/>
      <c r="BQG102" s="7"/>
      <c r="BQH102" s="7"/>
      <c r="BQI102" s="7"/>
      <c r="BQJ102" s="4"/>
      <c r="BQO102" s="7"/>
      <c r="BQP102" s="7"/>
      <c r="BQQ102" s="7"/>
      <c r="BQR102" s="4"/>
      <c r="BQW102" s="7"/>
      <c r="BQX102" s="7"/>
      <c r="BQY102" s="7"/>
      <c r="BQZ102" s="4"/>
      <c r="BRE102" s="7"/>
      <c r="BRF102" s="7"/>
      <c r="BRG102" s="7"/>
      <c r="BRH102" s="4"/>
      <c r="BRM102" s="7"/>
      <c r="BRN102" s="7"/>
      <c r="BRO102" s="7"/>
      <c r="BRP102" s="4"/>
      <c r="BRU102" s="7"/>
      <c r="BRV102" s="7"/>
      <c r="BRW102" s="7"/>
      <c r="BRX102" s="4"/>
      <c r="BSC102" s="7"/>
      <c r="BSD102" s="7"/>
      <c r="BSE102" s="7"/>
      <c r="BSF102" s="4"/>
      <c r="BSK102" s="7"/>
      <c r="BSL102" s="7"/>
      <c r="BSM102" s="7"/>
      <c r="BSN102" s="4"/>
      <c r="BSS102" s="7"/>
      <c r="BST102" s="7"/>
      <c r="BSU102" s="7"/>
      <c r="BSV102" s="4"/>
      <c r="BTA102" s="7"/>
      <c r="BTB102" s="7"/>
      <c r="BTC102" s="7"/>
      <c r="BTD102" s="4"/>
      <c r="BTI102" s="7"/>
      <c r="BTJ102" s="7"/>
      <c r="BTK102" s="7"/>
      <c r="BTL102" s="4"/>
      <c r="BTQ102" s="7"/>
      <c r="BTR102" s="7"/>
      <c r="BTS102" s="7"/>
      <c r="BTT102" s="4"/>
      <c r="BTY102" s="7"/>
      <c r="BTZ102" s="7"/>
      <c r="BUA102" s="7"/>
      <c r="BUB102" s="4"/>
      <c r="BUG102" s="7"/>
      <c r="BUH102" s="7"/>
      <c r="BUI102" s="7"/>
      <c r="BUJ102" s="4"/>
      <c r="BUO102" s="7"/>
      <c r="BUP102" s="7"/>
      <c r="BUQ102" s="7"/>
      <c r="BUR102" s="4"/>
      <c r="BUW102" s="7"/>
      <c r="BUX102" s="7"/>
      <c r="BUY102" s="7"/>
      <c r="BUZ102" s="4"/>
      <c r="BVE102" s="7"/>
      <c r="BVF102" s="7"/>
      <c r="BVG102" s="7"/>
      <c r="BVH102" s="4"/>
      <c r="BVM102" s="7"/>
      <c r="BVN102" s="7"/>
      <c r="BVO102" s="7"/>
      <c r="BVP102" s="4"/>
      <c r="BVU102" s="7"/>
      <c r="BVV102" s="7"/>
      <c r="BVW102" s="7"/>
      <c r="BVX102" s="4"/>
      <c r="BWC102" s="7"/>
      <c r="BWD102" s="7"/>
      <c r="BWE102" s="7"/>
      <c r="BWF102" s="4"/>
      <c r="BWK102" s="7"/>
      <c r="BWL102" s="7"/>
      <c r="BWM102" s="7"/>
      <c r="BWN102" s="4"/>
      <c r="BWS102" s="7"/>
      <c r="BWT102" s="7"/>
      <c r="BWU102" s="7"/>
      <c r="BWV102" s="4"/>
      <c r="BXA102" s="7"/>
      <c r="BXB102" s="7"/>
      <c r="BXC102" s="7"/>
      <c r="BXD102" s="4"/>
      <c r="BXI102" s="7"/>
      <c r="BXJ102" s="7"/>
      <c r="BXK102" s="7"/>
      <c r="BXL102" s="4"/>
      <c r="BXQ102" s="7"/>
      <c r="BXR102" s="7"/>
      <c r="BXS102" s="7"/>
      <c r="BXT102" s="4"/>
      <c r="BXY102" s="7"/>
      <c r="BXZ102" s="7"/>
      <c r="BYA102" s="7"/>
      <c r="BYB102" s="4"/>
      <c r="BYG102" s="7"/>
      <c r="BYH102" s="7"/>
      <c r="BYI102" s="7"/>
      <c r="BYJ102" s="4"/>
      <c r="BYO102" s="7"/>
      <c r="BYP102" s="7"/>
      <c r="BYQ102" s="7"/>
      <c r="BYR102" s="4"/>
      <c r="BYW102" s="7"/>
      <c r="BYX102" s="7"/>
      <c r="BYY102" s="7"/>
      <c r="BYZ102" s="4"/>
      <c r="BZE102" s="7"/>
      <c r="BZF102" s="7"/>
      <c r="BZG102" s="7"/>
      <c r="BZH102" s="4"/>
      <c r="BZM102" s="7"/>
      <c r="BZN102" s="7"/>
      <c r="BZO102" s="7"/>
      <c r="BZP102" s="4"/>
      <c r="BZU102" s="7"/>
      <c r="BZV102" s="7"/>
      <c r="BZW102" s="7"/>
      <c r="BZX102" s="4"/>
      <c r="CAC102" s="7"/>
      <c r="CAD102" s="7"/>
      <c r="CAE102" s="7"/>
      <c r="CAF102" s="4"/>
      <c r="CAK102" s="7"/>
      <c r="CAL102" s="7"/>
      <c r="CAM102" s="7"/>
      <c r="CAN102" s="4"/>
      <c r="CAS102" s="7"/>
      <c r="CAT102" s="7"/>
      <c r="CAU102" s="7"/>
      <c r="CAV102" s="4"/>
      <c r="CBA102" s="7"/>
      <c r="CBB102" s="7"/>
      <c r="CBC102" s="7"/>
      <c r="CBD102" s="4"/>
      <c r="CBI102" s="7"/>
      <c r="CBJ102" s="7"/>
      <c r="CBK102" s="7"/>
      <c r="CBL102" s="4"/>
      <c r="CBQ102" s="7"/>
      <c r="CBR102" s="7"/>
      <c r="CBS102" s="7"/>
      <c r="CBT102" s="4"/>
      <c r="CBY102" s="7"/>
      <c r="CBZ102" s="7"/>
      <c r="CCA102" s="7"/>
      <c r="CCB102" s="4"/>
      <c r="CCG102" s="7"/>
      <c r="CCH102" s="7"/>
      <c r="CCI102" s="7"/>
      <c r="CCJ102" s="4"/>
      <c r="CCO102" s="7"/>
      <c r="CCP102" s="7"/>
      <c r="CCQ102" s="7"/>
      <c r="CCR102" s="4"/>
      <c r="CCW102" s="7"/>
      <c r="CCX102" s="7"/>
      <c r="CCY102" s="7"/>
      <c r="CCZ102" s="4"/>
      <c r="CDE102" s="7"/>
      <c r="CDF102" s="7"/>
      <c r="CDG102" s="7"/>
      <c r="CDH102" s="4"/>
      <c r="CDM102" s="7"/>
      <c r="CDN102" s="7"/>
      <c r="CDO102" s="7"/>
      <c r="CDP102" s="4"/>
      <c r="CDU102" s="7"/>
      <c r="CDV102" s="7"/>
      <c r="CDW102" s="7"/>
      <c r="CDX102" s="4"/>
      <c r="CEC102" s="7"/>
      <c r="CED102" s="7"/>
      <c r="CEE102" s="7"/>
      <c r="CEF102" s="4"/>
      <c r="CEK102" s="7"/>
      <c r="CEL102" s="7"/>
      <c r="CEM102" s="7"/>
      <c r="CEN102" s="4"/>
      <c r="CES102" s="7"/>
      <c r="CET102" s="7"/>
      <c r="CEU102" s="7"/>
      <c r="CEV102" s="4"/>
      <c r="CFA102" s="7"/>
      <c r="CFB102" s="7"/>
      <c r="CFC102" s="7"/>
      <c r="CFD102" s="4"/>
      <c r="CFI102" s="7"/>
      <c r="CFJ102" s="7"/>
      <c r="CFK102" s="7"/>
      <c r="CFL102" s="4"/>
      <c r="CFQ102" s="7"/>
      <c r="CFR102" s="7"/>
      <c r="CFS102" s="7"/>
      <c r="CFT102" s="4"/>
      <c r="CFY102" s="7"/>
      <c r="CFZ102" s="7"/>
      <c r="CGA102" s="7"/>
      <c r="CGB102" s="4"/>
      <c r="CGG102" s="7"/>
      <c r="CGH102" s="7"/>
      <c r="CGI102" s="7"/>
      <c r="CGJ102" s="4"/>
      <c r="CGO102" s="7"/>
      <c r="CGP102" s="7"/>
      <c r="CGQ102" s="7"/>
      <c r="CGR102" s="4"/>
      <c r="CGW102" s="7"/>
      <c r="CGX102" s="7"/>
      <c r="CGY102" s="7"/>
      <c r="CGZ102" s="4"/>
      <c r="CHE102" s="7"/>
      <c r="CHF102" s="7"/>
      <c r="CHG102" s="7"/>
      <c r="CHH102" s="4"/>
      <c r="CHM102" s="7"/>
      <c r="CHN102" s="7"/>
      <c r="CHO102" s="7"/>
      <c r="CHP102" s="4"/>
      <c r="CHU102" s="7"/>
      <c r="CHV102" s="7"/>
      <c r="CHW102" s="7"/>
      <c r="CHX102" s="4"/>
      <c r="CIC102" s="7"/>
      <c r="CID102" s="7"/>
      <c r="CIE102" s="7"/>
      <c r="CIF102" s="4"/>
      <c r="CIK102" s="7"/>
      <c r="CIL102" s="7"/>
      <c r="CIM102" s="7"/>
      <c r="CIN102" s="4"/>
      <c r="CIS102" s="7"/>
      <c r="CIT102" s="7"/>
      <c r="CIU102" s="7"/>
      <c r="CIV102" s="4"/>
      <c r="CJA102" s="7"/>
      <c r="CJB102" s="7"/>
      <c r="CJC102" s="7"/>
      <c r="CJD102" s="4"/>
      <c r="CJI102" s="7"/>
      <c r="CJJ102" s="7"/>
      <c r="CJK102" s="7"/>
      <c r="CJL102" s="4"/>
      <c r="CJQ102" s="7"/>
      <c r="CJR102" s="7"/>
      <c r="CJS102" s="7"/>
      <c r="CJT102" s="4"/>
      <c r="CJY102" s="7"/>
      <c r="CJZ102" s="7"/>
      <c r="CKA102" s="7"/>
      <c r="CKB102" s="4"/>
      <c r="CKG102" s="7"/>
      <c r="CKH102" s="7"/>
      <c r="CKI102" s="7"/>
      <c r="CKJ102" s="4"/>
      <c r="CKO102" s="7"/>
      <c r="CKP102" s="7"/>
      <c r="CKQ102" s="7"/>
      <c r="CKR102" s="4"/>
      <c r="CKW102" s="7"/>
      <c r="CKX102" s="7"/>
      <c r="CKY102" s="7"/>
      <c r="CKZ102" s="4"/>
      <c r="CLE102" s="7"/>
      <c r="CLF102" s="7"/>
      <c r="CLG102" s="7"/>
      <c r="CLH102" s="4"/>
      <c r="CLM102" s="7"/>
      <c r="CLN102" s="7"/>
      <c r="CLO102" s="7"/>
      <c r="CLP102" s="4"/>
      <c r="CLU102" s="7"/>
      <c r="CLV102" s="7"/>
      <c r="CLW102" s="7"/>
      <c r="CLX102" s="4"/>
      <c r="CMC102" s="7"/>
      <c r="CMD102" s="7"/>
      <c r="CME102" s="7"/>
      <c r="CMF102" s="4"/>
      <c r="CMK102" s="7"/>
      <c r="CML102" s="7"/>
      <c r="CMM102" s="7"/>
      <c r="CMN102" s="4"/>
      <c r="CMS102" s="7"/>
      <c r="CMT102" s="7"/>
      <c r="CMU102" s="7"/>
      <c r="CMV102" s="4"/>
      <c r="CNA102" s="7"/>
      <c r="CNB102" s="7"/>
      <c r="CNC102" s="7"/>
      <c r="CND102" s="4"/>
      <c r="CNI102" s="7"/>
      <c r="CNJ102" s="7"/>
      <c r="CNK102" s="7"/>
      <c r="CNL102" s="4"/>
      <c r="CNQ102" s="7"/>
      <c r="CNR102" s="7"/>
      <c r="CNS102" s="7"/>
      <c r="CNT102" s="4"/>
      <c r="CNY102" s="7"/>
      <c r="CNZ102" s="7"/>
      <c r="COA102" s="7"/>
      <c r="COB102" s="4"/>
      <c r="COG102" s="7"/>
      <c r="COH102" s="7"/>
      <c r="COI102" s="7"/>
      <c r="COJ102" s="4"/>
      <c r="COO102" s="7"/>
      <c r="COP102" s="7"/>
      <c r="COQ102" s="7"/>
      <c r="COR102" s="4"/>
      <c r="COW102" s="7"/>
      <c r="COX102" s="7"/>
      <c r="COY102" s="7"/>
      <c r="COZ102" s="4"/>
      <c r="CPE102" s="7"/>
      <c r="CPF102" s="7"/>
      <c r="CPG102" s="7"/>
      <c r="CPH102" s="4"/>
      <c r="CPM102" s="7"/>
      <c r="CPN102" s="7"/>
      <c r="CPO102" s="7"/>
      <c r="CPP102" s="4"/>
      <c r="CPU102" s="7"/>
      <c r="CPV102" s="7"/>
      <c r="CPW102" s="7"/>
      <c r="CPX102" s="4"/>
      <c r="CQC102" s="7"/>
      <c r="CQD102" s="7"/>
      <c r="CQE102" s="7"/>
      <c r="CQF102" s="4"/>
      <c r="CQK102" s="7"/>
      <c r="CQL102" s="7"/>
      <c r="CQM102" s="7"/>
      <c r="CQN102" s="4"/>
      <c r="CQS102" s="7"/>
      <c r="CQT102" s="7"/>
      <c r="CQU102" s="7"/>
      <c r="CQV102" s="4"/>
      <c r="CRA102" s="7"/>
      <c r="CRB102" s="7"/>
      <c r="CRC102" s="7"/>
      <c r="CRD102" s="4"/>
      <c r="CRI102" s="7"/>
      <c r="CRJ102" s="7"/>
      <c r="CRK102" s="7"/>
      <c r="CRL102" s="4"/>
      <c r="CRQ102" s="7"/>
      <c r="CRR102" s="7"/>
      <c r="CRS102" s="7"/>
      <c r="CRT102" s="4"/>
      <c r="CRY102" s="7"/>
      <c r="CRZ102" s="7"/>
      <c r="CSA102" s="7"/>
      <c r="CSB102" s="4"/>
      <c r="CSG102" s="7"/>
      <c r="CSH102" s="7"/>
      <c r="CSI102" s="7"/>
      <c r="CSJ102" s="4"/>
      <c r="CSO102" s="7"/>
      <c r="CSP102" s="7"/>
      <c r="CSQ102" s="7"/>
      <c r="CSR102" s="4"/>
      <c r="CSW102" s="7"/>
      <c r="CSX102" s="7"/>
      <c r="CSY102" s="7"/>
      <c r="CSZ102" s="4"/>
      <c r="CTE102" s="7"/>
      <c r="CTF102" s="7"/>
      <c r="CTG102" s="7"/>
      <c r="CTH102" s="4"/>
      <c r="CTM102" s="7"/>
      <c r="CTN102" s="7"/>
      <c r="CTO102" s="7"/>
      <c r="CTP102" s="4"/>
      <c r="CTU102" s="7"/>
      <c r="CTV102" s="7"/>
      <c r="CTW102" s="7"/>
      <c r="CTX102" s="4"/>
      <c r="CUC102" s="7"/>
      <c r="CUD102" s="7"/>
      <c r="CUE102" s="7"/>
      <c r="CUF102" s="4"/>
      <c r="CUK102" s="7"/>
      <c r="CUL102" s="7"/>
      <c r="CUM102" s="7"/>
      <c r="CUN102" s="4"/>
      <c r="CUS102" s="7"/>
      <c r="CUT102" s="7"/>
      <c r="CUU102" s="7"/>
      <c r="CUV102" s="4"/>
      <c r="CVA102" s="7"/>
      <c r="CVB102" s="7"/>
      <c r="CVC102" s="7"/>
      <c r="CVD102" s="4"/>
      <c r="CVI102" s="7"/>
      <c r="CVJ102" s="7"/>
      <c r="CVK102" s="7"/>
      <c r="CVL102" s="4"/>
      <c r="CVQ102" s="7"/>
      <c r="CVR102" s="7"/>
      <c r="CVS102" s="7"/>
      <c r="CVT102" s="4"/>
      <c r="CVY102" s="7"/>
      <c r="CVZ102" s="7"/>
      <c r="CWA102" s="7"/>
      <c r="CWB102" s="4"/>
      <c r="CWG102" s="7"/>
      <c r="CWH102" s="7"/>
      <c r="CWI102" s="7"/>
      <c r="CWJ102" s="4"/>
      <c r="CWO102" s="7"/>
      <c r="CWP102" s="7"/>
      <c r="CWQ102" s="7"/>
      <c r="CWR102" s="4"/>
      <c r="CWW102" s="7"/>
      <c r="CWX102" s="7"/>
      <c r="CWY102" s="7"/>
      <c r="CWZ102" s="4"/>
      <c r="CXE102" s="7"/>
      <c r="CXF102" s="7"/>
      <c r="CXG102" s="7"/>
      <c r="CXH102" s="4"/>
      <c r="CXM102" s="7"/>
      <c r="CXN102" s="7"/>
      <c r="CXO102" s="7"/>
      <c r="CXP102" s="4"/>
      <c r="CXU102" s="7"/>
      <c r="CXV102" s="7"/>
      <c r="CXW102" s="7"/>
      <c r="CXX102" s="4"/>
      <c r="CYC102" s="7"/>
      <c r="CYD102" s="7"/>
      <c r="CYE102" s="7"/>
      <c r="CYF102" s="4"/>
      <c r="CYK102" s="7"/>
      <c r="CYL102" s="7"/>
      <c r="CYM102" s="7"/>
      <c r="CYN102" s="4"/>
      <c r="CYS102" s="7"/>
      <c r="CYT102" s="7"/>
      <c r="CYU102" s="7"/>
      <c r="CYV102" s="4"/>
      <c r="CZA102" s="7"/>
      <c r="CZB102" s="7"/>
      <c r="CZC102" s="7"/>
      <c r="CZD102" s="4"/>
      <c r="CZI102" s="7"/>
      <c r="CZJ102" s="7"/>
      <c r="CZK102" s="7"/>
      <c r="CZL102" s="4"/>
      <c r="CZQ102" s="7"/>
      <c r="CZR102" s="7"/>
      <c r="CZS102" s="7"/>
      <c r="CZT102" s="4"/>
      <c r="CZY102" s="7"/>
      <c r="CZZ102" s="7"/>
      <c r="DAA102" s="7"/>
      <c r="DAB102" s="4"/>
      <c r="DAG102" s="7"/>
      <c r="DAH102" s="7"/>
      <c r="DAI102" s="7"/>
      <c r="DAJ102" s="4"/>
      <c r="DAO102" s="7"/>
      <c r="DAP102" s="7"/>
      <c r="DAQ102" s="7"/>
      <c r="DAR102" s="4"/>
      <c r="DAW102" s="7"/>
      <c r="DAX102" s="7"/>
      <c r="DAY102" s="7"/>
      <c r="DAZ102" s="4"/>
      <c r="DBE102" s="7"/>
      <c r="DBF102" s="7"/>
      <c r="DBG102" s="7"/>
      <c r="DBH102" s="4"/>
      <c r="DBM102" s="7"/>
      <c r="DBN102" s="7"/>
      <c r="DBO102" s="7"/>
      <c r="DBP102" s="4"/>
      <c r="DBU102" s="7"/>
      <c r="DBV102" s="7"/>
      <c r="DBW102" s="7"/>
      <c r="DBX102" s="4"/>
      <c r="DCC102" s="7"/>
      <c r="DCD102" s="7"/>
      <c r="DCE102" s="7"/>
      <c r="DCF102" s="4"/>
      <c r="DCK102" s="7"/>
      <c r="DCL102" s="7"/>
      <c r="DCM102" s="7"/>
      <c r="DCN102" s="4"/>
      <c r="DCS102" s="7"/>
      <c r="DCT102" s="7"/>
      <c r="DCU102" s="7"/>
      <c r="DCV102" s="4"/>
      <c r="DDA102" s="7"/>
      <c r="DDB102" s="7"/>
      <c r="DDC102" s="7"/>
      <c r="DDD102" s="4"/>
      <c r="DDI102" s="7"/>
      <c r="DDJ102" s="7"/>
      <c r="DDK102" s="7"/>
      <c r="DDL102" s="4"/>
      <c r="DDQ102" s="7"/>
      <c r="DDR102" s="7"/>
      <c r="DDS102" s="7"/>
      <c r="DDT102" s="4"/>
      <c r="DDY102" s="7"/>
      <c r="DDZ102" s="7"/>
      <c r="DEA102" s="7"/>
      <c r="DEB102" s="4"/>
      <c r="DEG102" s="7"/>
      <c r="DEH102" s="7"/>
      <c r="DEI102" s="7"/>
      <c r="DEJ102" s="4"/>
      <c r="DEO102" s="7"/>
      <c r="DEP102" s="7"/>
      <c r="DEQ102" s="7"/>
      <c r="DER102" s="4"/>
      <c r="DEW102" s="7"/>
      <c r="DEX102" s="7"/>
      <c r="DEY102" s="7"/>
      <c r="DEZ102" s="4"/>
      <c r="DFE102" s="7"/>
      <c r="DFF102" s="7"/>
      <c r="DFG102" s="7"/>
      <c r="DFH102" s="4"/>
      <c r="DFM102" s="7"/>
      <c r="DFN102" s="7"/>
      <c r="DFO102" s="7"/>
      <c r="DFP102" s="4"/>
      <c r="DFU102" s="7"/>
      <c r="DFV102" s="7"/>
      <c r="DFW102" s="7"/>
      <c r="DFX102" s="4"/>
      <c r="DGC102" s="7"/>
      <c r="DGD102" s="7"/>
      <c r="DGE102" s="7"/>
      <c r="DGF102" s="4"/>
      <c r="DGK102" s="7"/>
      <c r="DGL102" s="7"/>
      <c r="DGM102" s="7"/>
      <c r="DGN102" s="4"/>
      <c r="DGS102" s="7"/>
      <c r="DGT102" s="7"/>
      <c r="DGU102" s="7"/>
      <c r="DGV102" s="4"/>
      <c r="DHA102" s="7"/>
      <c r="DHB102" s="7"/>
      <c r="DHC102" s="7"/>
      <c r="DHD102" s="4"/>
      <c r="DHI102" s="7"/>
      <c r="DHJ102" s="7"/>
      <c r="DHK102" s="7"/>
      <c r="DHL102" s="4"/>
      <c r="DHQ102" s="7"/>
      <c r="DHR102" s="7"/>
      <c r="DHS102" s="7"/>
      <c r="DHT102" s="4"/>
      <c r="DHY102" s="7"/>
      <c r="DHZ102" s="7"/>
      <c r="DIA102" s="7"/>
      <c r="DIB102" s="4"/>
      <c r="DIG102" s="7"/>
      <c r="DIH102" s="7"/>
      <c r="DII102" s="7"/>
      <c r="DIJ102" s="4"/>
      <c r="DIO102" s="7"/>
      <c r="DIP102" s="7"/>
      <c r="DIQ102" s="7"/>
      <c r="DIR102" s="4"/>
      <c r="DIW102" s="7"/>
      <c r="DIX102" s="7"/>
      <c r="DIY102" s="7"/>
      <c r="DIZ102" s="4"/>
      <c r="DJE102" s="7"/>
      <c r="DJF102" s="7"/>
      <c r="DJG102" s="7"/>
      <c r="DJH102" s="4"/>
      <c r="DJM102" s="7"/>
      <c r="DJN102" s="7"/>
      <c r="DJO102" s="7"/>
      <c r="DJP102" s="4"/>
      <c r="DJU102" s="7"/>
      <c r="DJV102" s="7"/>
      <c r="DJW102" s="7"/>
      <c r="DJX102" s="4"/>
      <c r="DKC102" s="7"/>
      <c r="DKD102" s="7"/>
      <c r="DKE102" s="7"/>
      <c r="DKF102" s="4"/>
      <c r="DKK102" s="7"/>
      <c r="DKL102" s="7"/>
      <c r="DKM102" s="7"/>
      <c r="DKN102" s="4"/>
      <c r="DKS102" s="7"/>
      <c r="DKT102" s="7"/>
      <c r="DKU102" s="7"/>
      <c r="DKV102" s="4"/>
      <c r="DLA102" s="7"/>
      <c r="DLB102" s="7"/>
      <c r="DLC102" s="7"/>
      <c r="DLD102" s="4"/>
      <c r="DLI102" s="7"/>
      <c r="DLJ102" s="7"/>
      <c r="DLK102" s="7"/>
      <c r="DLL102" s="4"/>
      <c r="DLQ102" s="7"/>
      <c r="DLR102" s="7"/>
      <c r="DLS102" s="7"/>
      <c r="DLT102" s="4"/>
      <c r="DLY102" s="7"/>
      <c r="DLZ102" s="7"/>
      <c r="DMA102" s="7"/>
      <c r="DMB102" s="4"/>
      <c r="DMG102" s="7"/>
      <c r="DMH102" s="7"/>
      <c r="DMI102" s="7"/>
      <c r="DMJ102" s="4"/>
      <c r="DMO102" s="7"/>
      <c r="DMP102" s="7"/>
      <c r="DMQ102" s="7"/>
      <c r="DMR102" s="4"/>
      <c r="DMW102" s="7"/>
      <c r="DMX102" s="7"/>
      <c r="DMY102" s="7"/>
      <c r="DMZ102" s="4"/>
      <c r="DNE102" s="7"/>
      <c r="DNF102" s="7"/>
      <c r="DNG102" s="7"/>
      <c r="DNH102" s="4"/>
      <c r="DNM102" s="7"/>
      <c r="DNN102" s="7"/>
      <c r="DNO102" s="7"/>
      <c r="DNP102" s="4"/>
      <c r="DNU102" s="7"/>
      <c r="DNV102" s="7"/>
      <c r="DNW102" s="7"/>
      <c r="DNX102" s="4"/>
      <c r="DOC102" s="7"/>
      <c r="DOD102" s="7"/>
      <c r="DOE102" s="7"/>
      <c r="DOF102" s="4"/>
      <c r="DOK102" s="7"/>
      <c r="DOL102" s="7"/>
      <c r="DOM102" s="7"/>
      <c r="DON102" s="4"/>
      <c r="DOS102" s="7"/>
      <c r="DOT102" s="7"/>
      <c r="DOU102" s="7"/>
      <c r="DOV102" s="4"/>
      <c r="DPA102" s="7"/>
      <c r="DPB102" s="7"/>
      <c r="DPC102" s="7"/>
      <c r="DPD102" s="4"/>
      <c r="DPI102" s="7"/>
      <c r="DPJ102" s="7"/>
      <c r="DPK102" s="7"/>
      <c r="DPL102" s="4"/>
      <c r="DPQ102" s="7"/>
      <c r="DPR102" s="7"/>
      <c r="DPS102" s="7"/>
      <c r="DPT102" s="4"/>
      <c r="DPY102" s="7"/>
      <c r="DPZ102" s="7"/>
      <c r="DQA102" s="7"/>
      <c r="DQB102" s="4"/>
      <c r="DQG102" s="7"/>
      <c r="DQH102" s="7"/>
      <c r="DQI102" s="7"/>
      <c r="DQJ102" s="4"/>
      <c r="DQO102" s="7"/>
      <c r="DQP102" s="7"/>
      <c r="DQQ102" s="7"/>
      <c r="DQR102" s="4"/>
      <c r="DQW102" s="7"/>
      <c r="DQX102" s="7"/>
      <c r="DQY102" s="7"/>
      <c r="DQZ102" s="4"/>
      <c r="DRE102" s="7"/>
      <c r="DRF102" s="7"/>
      <c r="DRG102" s="7"/>
      <c r="DRH102" s="4"/>
      <c r="DRM102" s="7"/>
      <c r="DRN102" s="7"/>
      <c r="DRO102" s="7"/>
      <c r="DRP102" s="4"/>
      <c r="DRU102" s="7"/>
      <c r="DRV102" s="7"/>
      <c r="DRW102" s="7"/>
      <c r="DRX102" s="4"/>
      <c r="DSC102" s="7"/>
      <c r="DSD102" s="7"/>
      <c r="DSE102" s="7"/>
      <c r="DSF102" s="4"/>
      <c r="DSK102" s="7"/>
      <c r="DSL102" s="7"/>
      <c r="DSM102" s="7"/>
      <c r="DSN102" s="4"/>
      <c r="DSS102" s="7"/>
      <c r="DST102" s="7"/>
      <c r="DSU102" s="7"/>
      <c r="DSV102" s="4"/>
      <c r="DTA102" s="7"/>
      <c r="DTB102" s="7"/>
      <c r="DTC102" s="7"/>
      <c r="DTD102" s="4"/>
      <c r="DTI102" s="7"/>
      <c r="DTJ102" s="7"/>
      <c r="DTK102" s="7"/>
      <c r="DTL102" s="4"/>
      <c r="DTQ102" s="7"/>
      <c r="DTR102" s="7"/>
      <c r="DTS102" s="7"/>
      <c r="DTT102" s="4"/>
      <c r="DTY102" s="7"/>
      <c r="DTZ102" s="7"/>
      <c r="DUA102" s="7"/>
      <c r="DUB102" s="4"/>
      <c r="DUG102" s="7"/>
      <c r="DUH102" s="7"/>
      <c r="DUI102" s="7"/>
      <c r="DUJ102" s="4"/>
      <c r="DUO102" s="7"/>
      <c r="DUP102" s="7"/>
      <c r="DUQ102" s="7"/>
      <c r="DUR102" s="4"/>
      <c r="DUW102" s="7"/>
      <c r="DUX102" s="7"/>
      <c r="DUY102" s="7"/>
      <c r="DUZ102" s="4"/>
      <c r="DVE102" s="7"/>
      <c r="DVF102" s="7"/>
      <c r="DVG102" s="7"/>
      <c r="DVH102" s="4"/>
      <c r="DVM102" s="7"/>
      <c r="DVN102" s="7"/>
      <c r="DVO102" s="7"/>
      <c r="DVP102" s="4"/>
      <c r="DVU102" s="7"/>
      <c r="DVV102" s="7"/>
      <c r="DVW102" s="7"/>
      <c r="DVX102" s="4"/>
      <c r="DWC102" s="7"/>
      <c r="DWD102" s="7"/>
      <c r="DWE102" s="7"/>
      <c r="DWF102" s="4"/>
      <c r="DWK102" s="7"/>
      <c r="DWL102" s="7"/>
      <c r="DWM102" s="7"/>
      <c r="DWN102" s="4"/>
      <c r="DWS102" s="7"/>
      <c r="DWT102" s="7"/>
      <c r="DWU102" s="7"/>
      <c r="DWV102" s="4"/>
      <c r="DXA102" s="7"/>
      <c r="DXB102" s="7"/>
      <c r="DXC102" s="7"/>
      <c r="DXD102" s="4"/>
      <c r="DXI102" s="7"/>
      <c r="DXJ102" s="7"/>
      <c r="DXK102" s="7"/>
      <c r="DXL102" s="4"/>
      <c r="DXQ102" s="7"/>
      <c r="DXR102" s="7"/>
      <c r="DXS102" s="7"/>
      <c r="DXT102" s="4"/>
      <c r="DXY102" s="7"/>
      <c r="DXZ102" s="7"/>
      <c r="DYA102" s="7"/>
      <c r="DYB102" s="4"/>
      <c r="DYG102" s="7"/>
      <c r="DYH102" s="7"/>
      <c r="DYI102" s="7"/>
      <c r="DYJ102" s="4"/>
      <c r="DYO102" s="7"/>
      <c r="DYP102" s="7"/>
      <c r="DYQ102" s="7"/>
      <c r="DYR102" s="4"/>
      <c r="DYW102" s="7"/>
      <c r="DYX102" s="7"/>
      <c r="DYY102" s="7"/>
      <c r="DYZ102" s="4"/>
      <c r="DZE102" s="7"/>
      <c r="DZF102" s="7"/>
      <c r="DZG102" s="7"/>
      <c r="DZH102" s="4"/>
      <c r="DZM102" s="7"/>
      <c r="DZN102" s="7"/>
      <c r="DZO102" s="7"/>
      <c r="DZP102" s="4"/>
      <c r="DZU102" s="7"/>
      <c r="DZV102" s="7"/>
      <c r="DZW102" s="7"/>
      <c r="DZX102" s="4"/>
      <c r="EAC102" s="7"/>
      <c r="EAD102" s="7"/>
      <c r="EAE102" s="7"/>
      <c r="EAF102" s="4"/>
      <c r="EAK102" s="7"/>
      <c r="EAL102" s="7"/>
      <c r="EAM102" s="7"/>
      <c r="EAN102" s="4"/>
      <c r="EAS102" s="7"/>
      <c r="EAT102" s="7"/>
      <c r="EAU102" s="7"/>
      <c r="EAV102" s="4"/>
      <c r="EBA102" s="7"/>
      <c r="EBB102" s="7"/>
      <c r="EBC102" s="7"/>
      <c r="EBD102" s="4"/>
      <c r="EBI102" s="7"/>
      <c r="EBJ102" s="7"/>
      <c r="EBK102" s="7"/>
      <c r="EBL102" s="4"/>
      <c r="EBQ102" s="7"/>
      <c r="EBR102" s="7"/>
      <c r="EBS102" s="7"/>
      <c r="EBT102" s="4"/>
      <c r="EBY102" s="7"/>
      <c r="EBZ102" s="7"/>
      <c r="ECA102" s="7"/>
      <c r="ECB102" s="4"/>
      <c r="ECG102" s="7"/>
      <c r="ECH102" s="7"/>
      <c r="ECI102" s="7"/>
      <c r="ECJ102" s="4"/>
      <c r="ECO102" s="7"/>
      <c r="ECP102" s="7"/>
      <c r="ECQ102" s="7"/>
      <c r="ECR102" s="4"/>
      <c r="ECW102" s="7"/>
      <c r="ECX102" s="7"/>
      <c r="ECY102" s="7"/>
      <c r="ECZ102" s="4"/>
      <c r="EDE102" s="7"/>
      <c r="EDF102" s="7"/>
      <c r="EDG102" s="7"/>
      <c r="EDH102" s="4"/>
      <c r="EDM102" s="7"/>
      <c r="EDN102" s="7"/>
      <c r="EDO102" s="7"/>
      <c r="EDP102" s="4"/>
      <c r="EDU102" s="7"/>
      <c r="EDV102" s="7"/>
      <c r="EDW102" s="7"/>
      <c r="EDX102" s="4"/>
      <c r="EEC102" s="7"/>
      <c r="EED102" s="7"/>
      <c r="EEE102" s="7"/>
      <c r="EEF102" s="4"/>
      <c r="EEK102" s="7"/>
      <c r="EEL102" s="7"/>
      <c r="EEM102" s="7"/>
      <c r="EEN102" s="4"/>
      <c r="EES102" s="7"/>
      <c r="EET102" s="7"/>
      <c r="EEU102" s="7"/>
      <c r="EEV102" s="4"/>
      <c r="EFA102" s="7"/>
      <c r="EFB102" s="7"/>
      <c r="EFC102" s="7"/>
      <c r="EFD102" s="4"/>
      <c r="EFI102" s="7"/>
      <c r="EFJ102" s="7"/>
      <c r="EFK102" s="7"/>
      <c r="EFL102" s="4"/>
      <c r="EFQ102" s="7"/>
      <c r="EFR102" s="7"/>
      <c r="EFS102" s="7"/>
      <c r="EFT102" s="4"/>
      <c r="EFY102" s="7"/>
      <c r="EFZ102" s="7"/>
      <c r="EGA102" s="7"/>
      <c r="EGB102" s="4"/>
      <c r="EGG102" s="7"/>
      <c r="EGH102" s="7"/>
      <c r="EGI102" s="7"/>
      <c r="EGJ102" s="4"/>
      <c r="EGO102" s="7"/>
      <c r="EGP102" s="7"/>
      <c r="EGQ102" s="7"/>
      <c r="EGR102" s="4"/>
      <c r="EGW102" s="7"/>
      <c r="EGX102" s="7"/>
      <c r="EGY102" s="7"/>
      <c r="EGZ102" s="4"/>
      <c r="EHE102" s="7"/>
      <c r="EHF102" s="7"/>
      <c r="EHG102" s="7"/>
      <c r="EHH102" s="4"/>
      <c r="EHM102" s="7"/>
      <c r="EHN102" s="7"/>
      <c r="EHO102" s="7"/>
      <c r="EHP102" s="4"/>
      <c r="EHU102" s="7"/>
      <c r="EHV102" s="7"/>
      <c r="EHW102" s="7"/>
      <c r="EHX102" s="4"/>
      <c r="EIC102" s="7"/>
      <c r="EID102" s="7"/>
      <c r="EIE102" s="7"/>
      <c r="EIF102" s="4"/>
      <c r="EIK102" s="7"/>
      <c r="EIL102" s="7"/>
      <c r="EIM102" s="7"/>
      <c r="EIN102" s="4"/>
      <c r="EIS102" s="7"/>
      <c r="EIT102" s="7"/>
      <c r="EIU102" s="7"/>
      <c r="EIV102" s="4"/>
      <c r="EJA102" s="7"/>
      <c r="EJB102" s="7"/>
      <c r="EJC102" s="7"/>
      <c r="EJD102" s="4"/>
      <c r="EJI102" s="7"/>
      <c r="EJJ102" s="7"/>
      <c r="EJK102" s="7"/>
      <c r="EJL102" s="4"/>
      <c r="EJQ102" s="7"/>
      <c r="EJR102" s="7"/>
      <c r="EJS102" s="7"/>
      <c r="EJT102" s="4"/>
      <c r="EJY102" s="7"/>
      <c r="EJZ102" s="7"/>
      <c r="EKA102" s="7"/>
      <c r="EKB102" s="4"/>
      <c r="EKG102" s="7"/>
      <c r="EKH102" s="7"/>
      <c r="EKI102" s="7"/>
      <c r="EKJ102" s="4"/>
      <c r="EKO102" s="7"/>
      <c r="EKP102" s="7"/>
      <c r="EKQ102" s="7"/>
      <c r="EKR102" s="4"/>
      <c r="EKW102" s="7"/>
      <c r="EKX102" s="7"/>
      <c r="EKY102" s="7"/>
      <c r="EKZ102" s="4"/>
      <c r="ELE102" s="7"/>
      <c r="ELF102" s="7"/>
      <c r="ELG102" s="7"/>
      <c r="ELH102" s="4"/>
      <c r="ELM102" s="7"/>
      <c r="ELN102" s="7"/>
      <c r="ELO102" s="7"/>
      <c r="ELP102" s="4"/>
      <c r="ELU102" s="7"/>
      <c r="ELV102" s="7"/>
      <c r="ELW102" s="7"/>
      <c r="ELX102" s="4"/>
      <c r="EMC102" s="7"/>
      <c r="EMD102" s="7"/>
      <c r="EME102" s="7"/>
      <c r="EMF102" s="4"/>
      <c r="EMK102" s="7"/>
      <c r="EML102" s="7"/>
      <c r="EMM102" s="7"/>
      <c r="EMN102" s="4"/>
      <c r="EMS102" s="7"/>
      <c r="EMT102" s="7"/>
      <c r="EMU102" s="7"/>
      <c r="EMV102" s="4"/>
      <c r="ENA102" s="7"/>
      <c r="ENB102" s="7"/>
      <c r="ENC102" s="7"/>
      <c r="END102" s="4"/>
      <c r="ENI102" s="7"/>
      <c r="ENJ102" s="7"/>
      <c r="ENK102" s="7"/>
      <c r="ENL102" s="4"/>
      <c r="ENQ102" s="7"/>
      <c r="ENR102" s="7"/>
      <c r="ENS102" s="7"/>
      <c r="ENT102" s="4"/>
      <c r="ENY102" s="7"/>
      <c r="ENZ102" s="7"/>
      <c r="EOA102" s="7"/>
      <c r="EOB102" s="4"/>
      <c r="EOG102" s="7"/>
      <c r="EOH102" s="7"/>
      <c r="EOI102" s="7"/>
      <c r="EOJ102" s="4"/>
      <c r="EOO102" s="7"/>
      <c r="EOP102" s="7"/>
      <c r="EOQ102" s="7"/>
      <c r="EOR102" s="4"/>
      <c r="EOW102" s="7"/>
      <c r="EOX102" s="7"/>
      <c r="EOY102" s="7"/>
      <c r="EOZ102" s="4"/>
      <c r="EPE102" s="7"/>
      <c r="EPF102" s="7"/>
      <c r="EPG102" s="7"/>
      <c r="EPH102" s="4"/>
      <c r="EPM102" s="7"/>
      <c r="EPN102" s="7"/>
      <c r="EPO102" s="7"/>
      <c r="EPP102" s="4"/>
      <c r="EPU102" s="7"/>
      <c r="EPV102" s="7"/>
      <c r="EPW102" s="7"/>
      <c r="EPX102" s="4"/>
      <c r="EQC102" s="7"/>
      <c r="EQD102" s="7"/>
      <c r="EQE102" s="7"/>
      <c r="EQF102" s="4"/>
      <c r="EQK102" s="7"/>
      <c r="EQL102" s="7"/>
      <c r="EQM102" s="7"/>
      <c r="EQN102" s="4"/>
      <c r="EQS102" s="7"/>
      <c r="EQT102" s="7"/>
      <c r="EQU102" s="7"/>
      <c r="EQV102" s="4"/>
      <c r="ERA102" s="7"/>
      <c r="ERB102" s="7"/>
      <c r="ERC102" s="7"/>
      <c r="ERD102" s="4"/>
      <c r="ERI102" s="7"/>
      <c r="ERJ102" s="7"/>
      <c r="ERK102" s="7"/>
      <c r="ERL102" s="4"/>
      <c r="ERQ102" s="7"/>
      <c r="ERR102" s="7"/>
      <c r="ERS102" s="7"/>
      <c r="ERT102" s="4"/>
      <c r="ERY102" s="7"/>
      <c r="ERZ102" s="7"/>
      <c r="ESA102" s="7"/>
      <c r="ESB102" s="4"/>
      <c r="ESG102" s="7"/>
      <c r="ESH102" s="7"/>
      <c r="ESI102" s="7"/>
      <c r="ESJ102" s="4"/>
      <c r="ESO102" s="7"/>
      <c r="ESP102" s="7"/>
      <c r="ESQ102" s="7"/>
      <c r="ESR102" s="4"/>
      <c r="ESW102" s="7"/>
      <c r="ESX102" s="7"/>
      <c r="ESY102" s="7"/>
      <c r="ESZ102" s="4"/>
      <c r="ETE102" s="7"/>
      <c r="ETF102" s="7"/>
      <c r="ETG102" s="7"/>
      <c r="ETH102" s="4"/>
      <c r="ETM102" s="7"/>
      <c r="ETN102" s="7"/>
      <c r="ETO102" s="7"/>
      <c r="ETP102" s="4"/>
      <c r="ETU102" s="7"/>
      <c r="ETV102" s="7"/>
      <c r="ETW102" s="7"/>
      <c r="ETX102" s="4"/>
      <c r="EUC102" s="7"/>
      <c r="EUD102" s="7"/>
      <c r="EUE102" s="7"/>
      <c r="EUF102" s="4"/>
      <c r="EUK102" s="7"/>
      <c r="EUL102" s="7"/>
      <c r="EUM102" s="7"/>
      <c r="EUN102" s="4"/>
      <c r="EUS102" s="7"/>
      <c r="EUT102" s="7"/>
      <c r="EUU102" s="7"/>
      <c r="EUV102" s="4"/>
      <c r="EVA102" s="7"/>
      <c r="EVB102" s="7"/>
      <c r="EVC102" s="7"/>
      <c r="EVD102" s="4"/>
      <c r="EVI102" s="7"/>
      <c r="EVJ102" s="7"/>
      <c r="EVK102" s="7"/>
      <c r="EVL102" s="4"/>
      <c r="EVQ102" s="7"/>
      <c r="EVR102" s="7"/>
      <c r="EVS102" s="7"/>
      <c r="EVT102" s="4"/>
      <c r="EVY102" s="7"/>
      <c r="EVZ102" s="7"/>
      <c r="EWA102" s="7"/>
      <c r="EWB102" s="4"/>
      <c r="EWG102" s="7"/>
      <c r="EWH102" s="7"/>
      <c r="EWI102" s="7"/>
      <c r="EWJ102" s="4"/>
      <c r="EWO102" s="7"/>
      <c r="EWP102" s="7"/>
      <c r="EWQ102" s="7"/>
      <c r="EWR102" s="4"/>
      <c r="EWW102" s="7"/>
      <c r="EWX102" s="7"/>
      <c r="EWY102" s="7"/>
      <c r="EWZ102" s="4"/>
      <c r="EXE102" s="7"/>
      <c r="EXF102" s="7"/>
      <c r="EXG102" s="7"/>
      <c r="EXH102" s="4"/>
      <c r="EXM102" s="7"/>
      <c r="EXN102" s="7"/>
      <c r="EXO102" s="7"/>
      <c r="EXP102" s="4"/>
      <c r="EXU102" s="7"/>
      <c r="EXV102" s="7"/>
      <c r="EXW102" s="7"/>
      <c r="EXX102" s="4"/>
      <c r="EYC102" s="7"/>
      <c r="EYD102" s="7"/>
      <c r="EYE102" s="7"/>
      <c r="EYF102" s="4"/>
      <c r="EYK102" s="7"/>
      <c r="EYL102" s="7"/>
      <c r="EYM102" s="7"/>
      <c r="EYN102" s="4"/>
      <c r="EYS102" s="7"/>
      <c r="EYT102" s="7"/>
      <c r="EYU102" s="7"/>
      <c r="EYV102" s="4"/>
      <c r="EZA102" s="7"/>
      <c r="EZB102" s="7"/>
      <c r="EZC102" s="7"/>
      <c r="EZD102" s="4"/>
      <c r="EZI102" s="7"/>
      <c r="EZJ102" s="7"/>
      <c r="EZK102" s="7"/>
      <c r="EZL102" s="4"/>
      <c r="EZQ102" s="7"/>
      <c r="EZR102" s="7"/>
      <c r="EZS102" s="7"/>
      <c r="EZT102" s="4"/>
      <c r="EZY102" s="7"/>
      <c r="EZZ102" s="7"/>
      <c r="FAA102" s="7"/>
      <c r="FAB102" s="4"/>
      <c r="FAG102" s="7"/>
      <c r="FAH102" s="7"/>
      <c r="FAI102" s="7"/>
      <c r="FAJ102" s="4"/>
      <c r="FAO102" s="7"/>
      <c r="FAP102" s="7"/>
      <c r="FAQ102" s="7"/>
      <c r="FAR102" s="4"/>
      <c r="FAW102" s="7"/>
      <c r="FAX102" s="7"/>
      <c r="FAY102" s="7"/>
      <c r="FAZ102" s="4"/>
      <c r="FBE102" s="7"/>
      <c r="FBF102" s="7"/>
      <c r="FBG102" s="7"/>
      <c r="FBH102" s="4"/>
      <c r="FBM102" s="7"/>
      <c r="FBN102" s="7"/>
      <c r="FBO102" s="7"/>
      <c r="FBP102" s="4"/>
      <c r="FBU102" s="7"/>
      <c r="FBV102" s="7"/>
      <c r="FBW102" s="7"/>
      <c r="FBX102" s="4"/>
      <c r="FCC102" s="7"/>
      <c r="FCD102" s="7"/>
      <c r="FCE102" s="7"/>
      <c r="FCF102" s="4"/>
      <c r="FCK102" s="7"/>
      <c r="FCL102" s="7"/>
      <c r="FCM102" s="7"/>
      <c r="FCN102" s="4"/>
      <c r="FCS102" s="7"/>
      <c r="FCT102" s="7"/>
      <c r="FCU102" s="7"/>
      <c r="FCV102" s="4"/>
      <c r="FDA102" s="7"/>
      <c r="FDB102" s="7"/>
      <c r="FDC102" s="7"/>
      <c r="FDD102" s="4"/>
      <c r="FDI102" s="7"/>
      <c r="FDJ102" s="7"/>
      <c r="FDK102" s="7"/>
      <c r="FDL102" s="4"/>
      <c r="FDQ102" s="7"/>
      <c r="FDR102" s="7"/>
      <c r="FDS102" s="7"/>
      <c r="FDT102" s="4"/>
      <c r="FDY102" s="7"/>
      <c r="FDZ102" s="7"/>
      <c r="FEA102" s="7"/>
      <c r="FEB102" s="4"/>
      <c r="FEG102" s="7"/>
      <c r="FEH102" s="7"/>
      <c r="FEI102" s="7"/>
      <c r="FEJ102" s="4"/>
      <c r="FEO102" s="7"/>
      <c r="FEP102" s="7"/>
      <c r="FEQ102" s="7"/>
      <c r="FER102" s="4"/>
      <c r="FEW102" s="7"/>
      <c r="FEX102" s="7"/>
      <c r="FEY102" s="7"/>
      <c r="FEZ102" s="4"/>
      <c r="FFE102" s="7"/>
      <c r="FFF102" s="7"/>
      <c r="FFG102" s="7"/>
      <c r="FFH102" s="4"/>
      <c r="FFM102" s="7"/>
      <c r="FFN102" s="7"/>
      <c r="FFO102" s="7"/>
      <c r="FFP102" s="4"/>
      <c r="FFU102" s="7"/>
      <c r="FFV102" s="7"/>
      <c r="FFW102" s="7"/>
      <c r="FFX102" s="4"/>
      <c r="FGC102" s="7"/>
      <c r="FGD102" s="7"/>
      <c r="FGE102" s="7"/>
      <c r="FGF102" s="4"/>
      <c r="FGK102" s="7"/>
      <c r="FGL102" s="7"/>
      <c r="FGM102" s="7"/>
      <c r="FGN102" s="4"/>
      <c r="FGS102" s="7"/>
      <c r="FGT102" s="7"/>
      <c r="FGU102" s="7"/>
      <c r="FGV102" s="4"/>
      <c r="FHA102" s="7"/>
      <c r="FHB102" s="7"/>
      <c r="FHC102" s="7"/>
      <c r="FHD102" s="4"/>
      <c r="FHI102" s="7"/>
      <c r="FHJ102" s="7"/>
      <c r="FHK102" s="7"/>
      <c r="FHL102" s="4"/>
      <c r="FHQ102" s="7"/>
      <c r="FHR102" s="7"/>
      <c r="FHS102" s="7"/>
      <c r="FHT102" s="4"/>
      <c r="FHY102" s="7"/>
      <c r="FHZ102" s="7"/>
      <c r="FIA102" s="7"/>
      <c r="FIB102" s="4"/>
      <c r="FIG102" s="7"/>
      <c r="FIH102" s="7"/>
      <c r="FII102" s="7"/>
      <c r="FIJ102" s="4"/>
      <c r="FIO102" s="7"/>
      <c r="FIP102" s="7"/>
      <c r="FIQ102" s="7"/>
      <c r="FIR102" s="4"/>
      <c r="FIW102" s="7"/>
      <c r="FIX102" s="7"/>
      <c r="FIY102" s="7"/>
      <c r="FIZ102" s="4"/>
      <c r="FJE102" s="7"/>
      <c r="FJF102" s="7"/>
      <c r="FJG102" s="7"/>
      <c r="FJH102" s="4"/>
      <c r="FJM102" s="7"/>
      <c r="FJN102" s="7"/>
      <c r="FJO102" s="7"/>
      <c r="FJP102" s="4"/>
      <c r="FJU102" s="7"/>
      <c r="FJV102" s="7"/>
      <c r="FJW102" s="7"/>
      <c r="FJX102" s="4"/>
      <c r="FKC102" s="7"/>
      <c r="FKD102" s="7"/>
      <c r="FKE102" s="7"/>
      <c r="FKF102" s="4"/>
      <c r="FKK102" s="7"/>
      <c r="FKL102" s="7"/>
      <c r="FKM102" s="7"/>
      <c r="FKN102" s="4"/>
      <c r="FKS102" s="7"/>
      <c r="FKT102" s="7"/>
      <c r="FKU102" s="7"/>
      <c r="FKV102" s="4"/>
      <c r="FLA102" s="7"/>
      <c r="FLB102" s="7"/>
      <c r="FLC102" s="7"/>
      <c r="FLD102" s="4"/>
      <c r="FLI102" s="7"/>
      <c r="FLJ102" s="7"/>
      <c r="FLK102" s="7"/>
      <c r="FLL102" s="4"/>
      <c r="FLQ102" s="7"/>
      <c r="FLR102" s="7"/>
      <c r="FLS102" s="7"/>
      <c r="FLT102" s="4"/>
      <c r="FLY102" s="7"/>
      <c r="FLZ102" s="7"/>
      <c r="FMA102" s="7"/>
      <c r="FMB102" s="4"/>
      <c r="FMG102" s="7"/>
      <c r="FMH102" s="7"/>
      <c r="FMI102" s="7"/>
      <c r="FMJ102" s="4"/>
      <c r="FMO102" s="7"/>
      <c r="FMP102" s="7"/>
      <c r="FMQ102" s="7"/>
      <c r="FMR102" s="4"/>
      <c r="FMW102" s="7"/>
      <c r="FMX102" s="7"/>
      <c r="FMY102" s="7"/>
      <c r="FMZ102" s="4"/>
      <c r="FNE102" s="7"/>
      <c r="FNF102" s="7"/>
      <c r="FNG102" s="7"/>
      <c r="FNH102" s="4"/>
      <c r="FNM102" s="7"/>
      <c r="FNN102" s="7"/>
      <c r="FNO102" s="7"/>
      <c r="FNP102" s="4"/>
      <c r="FNU102" s="7"/>
      <c r="FNV102" s="7"/>
      <c r="FNW102" s="7"/>
      <c r="FNX102" s="4"/>
      <c r="FOC102" s="7"/>
      <c r="FOD102" s="7"/>
      <c r="FOE102" s="7"/>
      <c r="FOF102" s="4"/>
      <c r="FOK102" s="7"/>
      <c r="FOL102" s="7"/>
      <c r="FOM102" s="7"/>
      <c r="FON102" s="4"/>
      <c r="FOS102" s="7"/>
      <c r="FOT102" s="7"/>
      <c r="FOU102" s="7"/>
      <c r="FOV102" s="4"/>
      <c r="FPA102" s="7"/>
      <c r="FPB102" s="7"/>
      <c r="FPC102" s="7"/>
      <c r="FPD102" s="4"/>
      <c r="FPI102" s="7"/>
      <c r="FPJ102" s="7"/>
      <c r="FPK102" s="7"/>
      <c r="FPL102" s="4"/>
      <c r="FPQ102" s="7"/>
      <c r="FPR102" s="7"/>
      <c r="FPS102" s="7"/>
      <c r="FPT102" s="4"/>
      <c r="FPY102" s="7"/>
      <c r="FPZ102" s="7"/>
      <c r="FQA102" s="7"/>
      <c r="FQB102" s="4"/>
      <c r="FQG102" s="7"/>
      <c r="FQH102" s="7"/>
      <c r="FQI102" s="7"/>
      <c r="FQJ102" s="4"/>
      <c r="FQO102" s="7"/>
      <c r="FQP102" s="7"/>
      <c r="FQQ102" s="7"/>
      <c r="FQR102" s="4"/>
      <c r="FQW102" s="7"/>
      <c r="FQX102" s="7"/>
      <c r="FQY102" s="7"/>
      <c r="FQZ102" s="4"/>
      <c r="FRE102" s="7"/>
      <c r="FRF102" s="7"/>
      <c r="FRG102" s="7"/>
      <c r="FRH102" s="4"/>
      <c r="FRM102" s="7"/>
      <c r="FRN102" s="7"/>
      <c r="FRO102" s="7"/>
      <c r="FRP102" s="4"/>
      <c r="FRU102" s="7"/>
      <c r="FRV102" s="7"/>
      <c r="FRW102" s="7"/>
      <c r="FRX102" s="4"/>
      <c r="FSC102" s="7"/>
      <c r="FSD102" s="7"/>
      <c r="FSE102" s="7"/>
      <c r="FSF102" s="4"/>
      <c r="FSK102" s="7"/>
      <c r="FSL102" s="7"/>
      <c r="FSM102" s="7"/>
      <c r="FSN102" s="4"/>
      <c r="FSS102" s="7"/>
      <c r="FST102" s="7"/>
      <c r="FSU102" s="7"/>
      <c r="FSV102" s="4"/>
      <c r="FTA102" s="7"/>
      <c r="FTB102" s="7"/>
      <c r="FTC102" s="7"/>
      <c r="FTD102" s="4"/>
      <c r="FTI102" s="7"/>
      <c r="FTJ102" s="7"/>
      <c r="FTK102" s="7"/>
      <c r="FTL102" s="4"/>
      <c r="FTQ102" s="7"/>
      <c r="FTR102" s="7"/>
      <c r="FTS102" s="7"/>
      <c r="FTT102" s="4"/>
      <c r="FTY102" s="7"/>
      <c r="FTZ102" s="7"/>
      <c r="FUA102" s="7"/>
      <c r="FUB102" s="4"/>
      <c r="FUG102" s="7"/>
      <c r="FUH102" s="7"/>
      <c r="FUI102" s="7"/>
      <c r="FUJ102" s="4"/>
      <c r="FUO102" s="7"/>
      <c r="FUP102" s="7"/>
      <c r="FUQ102" s="7"/>
      <c r="FUR102" s="4"/>
      <c r="FUW102" s="7"/>
      <c r="FUX102" s="7"/>
      <c r="FUY102" s="7"/>
      <c r="FUZ102" s="4"/>
      <c r="FVE102" s="7"/>
      <c r="FVF102" s="7"/>
      <c r="FVG102" s="7"/>
      <c r="FVH102" s="4"/>
      <c r="FVM102" s="7"/>
      <c r="FVN102" s="7"/>
      <c r="FVO102" s="7"/>
      <c r="FVP102" s="4"/>
      <c r="FVU102" s="7"/>
      <c r="FVV102" s="7"/>
      <c r="FVW102" s="7"/>
      <c r="FVX102" s="4"/>
      <c r="FWC102" s="7"/>
      <c r="FWD102" s="7"/>
      <c r="FWE102" s="7"/>
      <c r="FWF102" s="4"/>
      <c r="FWK102" s="7"/>
      <c r="FWL102" s="7"/>
      <c r="FWM102" s="7"/>
      <c r="FWN102" s="4"/>
      <c r="FWS102" s="7"/>
      <c r="FWT102" s="7"/>
      <c r="FWU102" s="7"/>
      <c r="FWV102" s="4"/>
      <c r="FXA102" s="7"/>
      <c r="FXB102" s="7"/>
      <c r="FXC102" s="7"/>
      <c r="FXD102" s="4"/>
      <c r="FXI102" s="7"/>
      <c r="FXJ102" s="7"/>
      <c r="FXK102" s="7"/>
      <c r="FXL102" s="4"/>
      <c r="FXQ102" s="7"/>
      <c r="FXR102" s="7"/>
      <c r="FXS102" s="7"/>
      <c r="FXT102" s="4"/>
      <c r="FXY102" s="7"/>
      <c r="FXZ102" s="7"/>
      <c r="FYA102" s="7"/>
      <c r="FYB102" s="4"/>
      <c r="FYG102" s="7"/>
      <c r="FYH102" s="7"/>
      <c r="FYI102" s="7"/>
      <c r="FYJ102" s="4"/>
      <c r="FYO102" s="7"/>
      <c r="FYP102" s="7"/>
      <c r="FYQ102" s="7"/>
      <c r="FYR102" s="4"/>
      <c r="FYW102" s="7"/>
      <c r="FYX102" s="7"/>
      <c r="FYY102" s="7"/>
      <c r="FYZ102" s="4"/>
      <c r="FZE102" s="7"/>
      <c r="FZF102" s="7"/>
      <c r="FZG102" s="7"/>
      <c r="FZH102" s="4"/>
      <c r="FZM102" s="7"/>
      <c r="FZN102" s="7"/>
      <c r="FZO102" s="7"/>
      <c r="FZP102" s="4"/>
      <c r="FZU102" s="7"/>
      <c r="FZV102" s="7"/>
      <c r="FZW102" s="7"/>
      <c r="FZX102" s="4"/>
      <c r="GAC102" s="7"/>
      <c r="GAD102" s="7"/>
      <c r="GAE102" s="7"/>
      <c r="GAF102" s="4"/>
      <c r="GAK102" s="7"/>
      <c r="GAL102" s="7"/>
      <c r="GAM102" s="7"/>
      <c r="GAN102" s="4"/>
      <c r="GAS102" s="7"/>
      <c r="GAT102" s="7"/>
      <c r="GAU102" s="7"/>
      <c r="GAV102" s="4"/>
      <c r="GBA102" s="7"/>
      <c r="GBB102" s="7"/>
      <c r="GBC102" s="7"/>
      <c r="GBD102" s="4"/>
      <c r="GBI102" s="7"/>
      <c r="GBJ102" s="7"/>
      <c r="GBK102" s="7"/>
      <c r="GBL102" s="4"/>
      <c r="GBQ102" s="7"/>
      <c r="GBR102" s="7"/>
      <c r="GBS102" s="7"/>
      <c r="GBT102" s="4"/>
      <c r="GBY102" s="7"/>
      <c r="GBZ102" s="7"/>
      <c r="GCA102" s="7"/>
      <c r="GCB102" s="4"/>
      <c r="GCG102" s="7"/>
      <c r="GCH102" s="7"/>
      <c r="GCI102" s="7"/>
      <c r="GCJ102" s="4"/>
      <c r="GCO102" s="7"/>
      <c r="GCP102" s="7"/>
      <c r="GCQ102" s="7"/>
      <c r="GCR102" s="4"/>
      <c r="GCW102" s="7"/>
      <c r="GCX102" s="7"/>
      <c r="GCY102" s="7"/>
      <c r="GCZ102" s="4"/>
      <c r="GDE102" s="7"/>
      <c r="GDF102" s="7"/>
      <c r="GDG102" s="7"/>
      <c r="GDH102" s="4"/>
      <c r="GDM102" s="7"/>
      <c r="GDN102" s="7"/>
      <c r="GDO102" s="7"/>
      <c r="GDP102" s="4"/>
      <c r="GDU102" s="7"/>
      <c r="GDV102" s="7"/>
      <c r="GDW102" s="7"/>
      <c r="GDX102" s="4"/>
      <c r="GEC102" s="7"/>
      <c r="GED102" s="7"/>
      <c r="GEE102" s="7"/>
      <c r="GEF102" s="4"/>
      <c r="GEK102" s="7"/>
      <c r="GEL102" s="7"/>
      <c r="GEM102" s="7"/>
      <c r="GEN102" s="4"/>
      <c r="GES102" s="7"/>
      <c r="GET102" s="7"/>
      <c r="GEU102" s="7"/>
      <c r="GEV102" s="4"/>
      <c r="GFA102" s="7"/>
      <c r="GFB102" s="7"/>
      <c r="GFC102" s="7"/>
      <c r="GFD102" s="4"/>
      <c r="GFI102" s="7"/>
      <c r="GFJ102" s="7"/>
      <c r="GFK102" s="7"/>
      <c r="GFL102" s="4"/>
      <c r="GFQ102" s="7"/>
      <c r="GFR102" s="7"/>
      <c r="GFS102" s="7"/>
      <c r="GFT102" s="4"/>
      <c r="GFY102" s="7"/>
      <c r="GFZ102" s="7"/>
      <c r="GGA102" s="7"/>
      <c r="GGB102" s="4"/>
      <c r="GGG102" s="7"/>
      <c r="GGH102" s="7"/>
      <c r="GGI102" s="7"/>
      <c r="GGJ102" s="4"/>
      <c r="GGO102" s="7"/>
      <c r="GGP102" s="7"/>
      <c r="GGQ102" s="7"/>
      <c r="GGR102" s="4"/>
      <c r="GGW102" s="7"/>
      <c r="GGX102" s="7"/>
      <c r="GGY102" s="7"/>
      <c r="GGZ102" s="4"/>
      <c r="GHE102" s="7"/>
      <c r="GHF102" s="7"/>
      <c r="GHG102" s="7"/>
      <c r="GHH102" s="4"/>
      <c r="GHM102" s="7"/>
      <c r="GHN102" s="7"/>
      <c r="GHO102" s="7"/>
      <c r="GHP102" s="4"/>
      <c r="GHU102" s="7"/>
      <c r="GHV102" s="7"/>
      <c r="GHW102" s="7"/>
      <c r="GHX102" s="4"/>
      <c r="GIC102" s="7"/>
      <c r="GID102" s="7"/>
      <c r="GIE102" s="7"/>
      <c r="GIF102" s="4"/>
      <c r="GIK102" s="7"/>
      <c r="GIL102" s="7"/>
      <c r="GIM102" s="7"/>
      <c r="GIN102" s="4"/>
      <c r="GIS102" s="7"/>
      <c r="GIT102" s="7"/>
      <c r="GIU102" s="7"/>
      <c r="GIV102" s="4"/>
      <c r="GJA102" s="7"/>
      <c r="GJB102" s="7"/>
      <c r="GJC102" s="7"/>
      <c r="GJD102" s="4"/>
      <c r="GJI102" s="7"/>
      <c r="GJJ102" s="7"/>
      <c r="GJK102" s="7"/>
      <c r="GJL102" s="4"/>
      <c r="GJQ102" s="7"/>
      <c r="GJR102" s="7"/>
      <c r="GJS102" s="7"/>
      <c r="GJT102" s="4"/>
      <c r="GJY102" s="7"/>
      <c r="GJZ102" s="7"/>
      <c r="GKA102" s="7"/>
      <c r="GKB102" s="4"/>
      <c r="GKG102" s="7"/>
      <c r="GKH102" s="7"/>
      <c r="GKI102" s="7"/>
      <c r="GKJ102" s="4"/>
      <c r="GKO102" s="7"/>
      <c r="GKP102" s="7"/>
      <c r="GKQ102" s="7"/>
      <c r="GKR102" s="4"/>
      <c r="GKW102" s="7"/>
      <c r="GKX102" s="7"/>
      <c r="GKY102" s="7"/>
      <c r="GKZ102" s="4"/>
      <c r="GLE102" s="7"/>
      <c r="GLF102" s="7"/>
      <c r="GLG102" s="7"/>
      <c r="GLH102" s="4"/>
      <c r="GLM102" s="7"/>
      <c r="GLN102" s="7"/>
      <c r="GLO102" s="7"/>
      <c r="GLP102" s="4"/>
      <c r="GLU102" s="7"/>
      <c r="GLV102" s="7"/>
      <c r="GLW102" s="7"/>
      <c r="GLX102" s="4"/>
      <c r="GMC102" s="7"/>
      <c r="GMD102" s="7"/>
      <c r="GME102" s="7"/>
      <c r="GMF102" s="4"/>
      <c r="GMK102" s="7"/>
      <c r="GML102" s="7"/>
      <c r="GMM102" s="7"/>
      <c r="GMN102" s="4"/>
      <c r="GMS102" s="7"/>
      <c r="GMT102" s="7"/>
      <c r="GMU102" s="7"/>
      <c r="GMV102" s="4"/>
      <c r="GNA102" s="7"/>
      <c r="GNB102" s="7"/>
      <c r="GNC102" s="7"/>
      <c r="GND102" s="4"/>
      <c r="GNI102" s="7"/>
      <c r="GNJ102" s="7"/>
      <c r="GNK102" s="7"/>
      <c r="GNL102" s="4"/>
      <c r="GNQ102" s="7"/>
      <c r="GNR102" s="7"/>
      <c r="GNS102" s="7"/>
      <c r="GNT102" s="4"/>
      <c r="GNY102" s="7"/>
      <c r="GNZ102" s="7"/>
      <c r="GOA102" s="7"/>
      <c r="GOB102" s="4"/>
      <c r="GOG102" s="7"/>
      <c r="GOH102" s="7"/>
      <c r="GOI102" s="7"/>
      <c r="GOJ102" s="4"/>
      <c r="GOO102" s="7"/>
      <c r="GOP102" s="7"/>
      <c r="GOQ102" s="7"/>
      <c r="GOR102" s="4"/>
      <c r="GOW102" s="7"/>
      <c r="GOX102" s="7"/>
      <c r="GOY102" s="7"/>
      <c r="GOZ102" s="4"/>
      <c r="GPE102" s="7"/>
      <c r="GPF102" s="7"/>
      <c r="GPG102" s="7"/>
      <c r="GPH102" s="4"/>
      <c r="GPM102" s="7"/>
      <c r="GPN102" s="7"/>
      <c r="GPO102" s="7"/>
      <c r="GPP102" s="4"/>
      <c r="GPU102" s="7"/>
      <c r="GPV102" s="7"/>
      <c r="GPW102" s="7"/>
      <c r="GPX102" s="4"/>
      <c r="GQC102" s="7"/>
      <c r="GQD102" s="7"/>
      <c r="GQE102" s="7"/>
      <c r="GQF102" s="4"/>
      <c r="GQK102" s="7"/>
      <c r="GQL102" s="7"/>
      <c r="GQM102" s="7"/>
      <c r="GQN102" s="4"/>
      <c r="GQS102" s="7"/>
      <c r="GQT102" s="7"/>
      <c r="GQU102" s="7"/>
      <c r="GQV102" s="4"/>
      <c r="GRA102" s="7"/>
      <c r="GRB102" s="7"/>
      <c r="GRC102" s="7"/>
      <c r="GRD102" s="4"/>
      <c r="GRI102" s="7"/>
      <c r="GRJ102" s="7"/>
      <c r="GRK102" s="7"/>
      <c r="GRL102" s="4"/>
      <c r="GRQ102" s="7"/>
      <c r="GRR102" s="7"/>
      <c r="GRS102" s="7"/>
      <c r="GRT102" s="4"/>
      <c r="GRY102" s="7"/>
      <c r="GRZ102" s="7"/>
      <c r="GSA102" s="7"/>
      <c r="GSB102" s="4"/>
      <c r="GSG102" s="7"/>
      <c r="GSH102" s="7"/>
      <c r="GSI102" s="7"/>
      <c r="GSJ102" s="4"/>
      <c r="GSO102" s="7"/>
      <c r="GSP102" s="7"/>
      <c r="GSQ102" s="7"/>
      <c r="GSR102" s="4"/>
      <c r="GSW102" s="7"/>
      <c r="GSX102" s="7"/>
      <c r="GSY102" s="7"/>
      <c r="GSZ102" s="4"/>
      <c r="GTE102" s="7"/>
      <c r="GTF102" s="7"/>
      <c r="GTG102" s="7"/>
      <c r="GTH102" s="4"/>
      <c r="GTM102" s="7"/>
      <c r="GTN102" s="7"/>
      <c r="GTO102" s="7"/>
      <c r="GTP102" s="4"/>
      <c r="GTU102" s="7"/>
      <c r="GTV102" s="7"/>
      <c r="GTW102" s="7"/>
      <c r="GTX102" s="4"/>
      <c r="GUC102" s="7"/>
      <c r="GUD102" s="7"/>
      <c r="GUE102" s="7"/>
      <c r="GUF102" s="4"/>
      <c r="GUK102" s="7"/>
      <c r="GUL102" s="7"/>
      <c r="GUM102" s="7"/>
      <c r="GUN102" s="4"/>
      <c r="GUS102" s="7"/>
      <c r="GUT102" s="7"/>
      <c r="GUU102" s="7"/>
      <c r="GUV102" s="4"/>
      <c r="GVA102" s="7"/>
      <c r="GVB102" s="7"/>
      <c r="GVC102" s="7"/>
      <c r="GVD102" s="4"/>
      <c r="GVI102" s="7"/>
      <c r="GVJ102" s="7"/>
      <c r="GVK102" s="7"/>
      <c r="GVL102" s="4"/>
      <c r="GVQ102" s="7"/>
      <c r="GVR102" s="7"/>
      <c r="GVS102" s="7"/>
      <c r="GVT102" s="4"/>
      <c r="GVY102" s="7"/>
      <c r="GVZ102" s="7"/>
      <c r="GWA102" s="7"/>
      <c r="GWB102" s="4"/>
      <c r="GWG102" s="7"/>
      <c r="GWH102" s="7"/>
      <c r="GWI102" s="7"/>
      <c r="GWJ102" s="4"/>
      <c r="GWO102" s="7"/>
      <c r="GWP102" s="7"/>
      <c r="GWQ102" s="7"/>
      <c r="GWR102" s="4"/>
      <c r="GWW102" s="7"/>
      <c r="GWX102" s="7"/>
      <c r="GWY102" s="7"/>
      <c r="GWZ102" s="4"/>
      <c r="GXE102" s="7"/>
      <c r="GXF102" s="7"/>
      <c r="GXG102" s="7"/>
      <c r="GXH102" s="4"/>
      <c r="GXM102" s="7"/>
      <c r="GXN102" s="7"/>
      <c r="GXO102" s="7"/>
      <c r="GXP102" s="4"/>
      <c r="GXU102" s="7"/>
      <c r="GXV102" s="7"/>
      <c r="GXW102" s="7"/>
      <c r="GXX102" s="4"/>
      <c r="GYC102" s="7"/>
      <c r="GYD102" s="7"/>
      <c r="GYE102" s="7"/>
      <c r="GYF102" s="4"/>
      <c r="GYK102" s="7"/>
      <c r="GYL102" s="7"/>
      <c r="GYM102" s="7"/>
      <c r="GYN102" s="4"/>
      <c r="GYS102" s="7"/>
      <c r="GYT102" s="7"/>
      <c r="GYU102" s="7"/>
      <c r="GYV102" s="4"/>
      <c r="GZA102" s="7"/>
      <c r="GZB102" s="7"/>
      <c r="GZC102" s="7"/>
      <c r="GZD102" s="4"/>
      <c r="GZI102" s="7"/>
      <c r="GZJ102" s="7"/>
      <c r="GZK102" s="7"/>
      <c r="GZL102" s="4"/>
      <c r="GZQ102" s="7"/>
      <c r="GZR102" s="7"/>
      <c r="GZS102" s="7"/>
      <c r="GZT102" s="4"/>
      <c r="GZY102" s="7"/>
      <c r="GZZ102" s="7"/>
      <c r="HAA102" s="7"/>
      <c r="HAB102" s="4"/>
      <c r="HAG102" s="7"/>
      <c r="HAH102" s="7"/>
      <c r="HAI102" s="7"/>
      <c r="HAJ102" s="4"/>
      <c r="HAO102" s="7"/>
      <c r="HAP102" s="7"/>
      <c r="HAQ102" s="7"/>
      <c r="HAR102" s="4"/>
      <c r="HAW102" s="7"/>
      <c r="HAX102" s="7"/>
      <c r="HAY102" s="7"/>
      <c r="HAZ102" s="4"/>
      <c r="HBE102" s="7"/>
      <c r="HBF102" s="7"/>
      <c r="HBG102" s="7"/>
      <c r="HBH102" s="4"/>
      <c r="HBM102" s="7"/>
      <c r="HBN102" s="7"/>
      <c r="HBO102" s="7"/>
      <c r="HBP102" s="4"/>
      <c r="HBU102" s="7"/>
      <c r="HBV102" s="7"/>
      <c r="HBW102" s="7"/>
      <c r="HBX102" s="4"/>
      <c r="HCC102" s="7"/>
      <c r="HCD102" s="7"/>
      <c r="HCE102" s="7"/>
      <c r="HCF102" s="4"/>
      <c r="HCK102" s="7"/>
      <c r="HCL102" s="7"/>
      <c r="HCM102" s="7"/>
      <c r="HCN102" s="4"/>
      <c r="HCS102" s="7"/>
      <c r="HCT102" s="7"/>
      <c r="HCU102" s="7"/>
      <c r="HCV102" s="4"/>
      <c r="HDA102" s="7"/>
      <c r="HDB102" s="7"/>
      <c r="HDC102" s="7"/>
      <c r="HDD102" s="4"/>
      <c r="HDI102" s="7"/>
      <c r="HDJ102" s="7"/>
      <c r="HDK102" s="7"/>
      <c r="HDL102" s="4"/>
      <c r="HDQ102" s="7"/>
      <c r="HDR102" s="7"/>
      <c r="HDS102" s="7"/>
      <c r="HDT102" s="4"/>
      <c r="HDY102" s="7"/>
      <c r="HDZ102" s="7"/>
      <c r="HEA102" s="7"/>
      <c r="HEB102" s="4"/>
      <c r="HEG102" s="7"/>
      <c r="HEH102" s="7"/>
      <c r="HEI102" s="7"/>
      <c r="HEJ102" s="4"/>
      <c r="HEO102" s="7"/>
      <c r="HEP102" s="7"/>
      <c r="HEQ102" s="7"/>
      <c r="HER102" s="4"/>
      <c r="HEW102" s="7"/>
      <c r="HEX102" s="7"/>
      <c r="HEY102" s="7"/>
      <c r="HEZ102" s="4"/>
      <c r="HFE102" s="7"/>
      <c r="HFF102" s="7"/>
      <c r="HFG102" s="7"/>
      <c r="HFH102" s="4"/>
      <c r="HFM102" s="7"/>
      <c r="HFN102" s="7"/>
      <c r="HFO102" s="7"/>
      <c r="HFP102" s="4"/>
      <c r="HFU102" s="7"/>
      <c r="HFV102" s="7"/>
      <c r="HFW102" s="7"/>
      <c r="HFX102" s="4"/>
      <c r="HGC102" s="7"/>
      <c r="HGD102" s="7"/>
      <c r="HGE102" s="7"/>
      <c r="HGF102" s="4"/>
      <c r="HGK102" s="7"/>
      <c r="HGL102" s="7"/>
      <c r="HGM102" s="7"/>
      <c r="HGN102" s="4"/>
      <c r="HGS102" s="7"/>
      <c r="HGT102" s="7"/>
      <c r="HGU102" s="7"/>
      <c r="HGV102" s="4"/>
      <c r="HHA102" s="7"/>
      <c r="HHB102" s="7"/>
      <c r="HHC102" s="7"/>
      <c r="HHD102" s="4"/>
      <c r="HHI102" s="7"/>
      <c r="HHJ102" s="7"/>
      <c r="HHK102" s="7"/>
      <c r="HHL102" s="4"/>
      <c r="HHQ102" s="7"/>
      <c r="HHR102" s="7"/>
      <c r="HHS102" s="7"/>
      <c r="HHT102" s="4"/>
      <c r="HHY102" s="7"/>
      <c r="HHZ102" s="7"/>
      <c r="HIA102" s="7"/>
      <c r="HIB102" s="4"/>
      <c r="HIG102" s="7"/>
      <c r="HIH102" s="7"/>
      <c r="HII102" s="7"/>
      <c r="HIJ102" s="4"/>
      <c r="HIO102" s="7"/>
      <c r="HIP102" s="7"/>
      <c r="HIQ102" s="7"/>
      <c r="HIR102" s="4"/>
      <c r="HIW102" s="7"/>
      <c r="HIX102" s="7"/>
      <c r="HIY102" s="7"/>
      <c r="HIZ102" s="4"/>
      <c r="HJE102" s="7"/>
      <c r="HJF102" s="7"/>
      <c r="HJG102" s="7"/>
      <c r="HJH102" s="4"/>
      <c r="HJM102" s="7"/>
      <c r="HJN102" s="7"/>
      <c r="HJO102" s="7"/>
      <c r="HJP102" s="4"/>
      <c r="HJU102" s="7"/>
      <c r="HJV102" s="7"/>
      <c r="HJW102" s="7"/>
      <c r="HJX102" s="4"/>
      <c r="HKC102" s="7"/>
      <c r="HKD102" s="7"/>
      <c r="HKE102" s="7"/>
      <c r="HKF102" s="4"/>
      <c r="HKK102" s="7"/>
      <c r="HKL102" s="7"/>
      <c r="HKM102" s="7"/>
      <c r="HKN102" s="4"/>
      <c r="HKS102" s="7"/>
      <c r="HKT102" s="7"/>
      <c r="HKU102" s="7"/>
      <c r="HKV102" s="4"/>
      <c r="HLA102" s="7"/>
      <c r="HLB102" s="7"/>
      <c r="HLC102" s="7"/>
      <c r="HLD102" s="4"/>
      <c r="HLI102" s="7"/>
      <c r="HLJ102" s="7"/>
      <c r="HLK102" s="7"/>
      <c r="HLL102" s="4"/>
      <c r="HLQ102" s="7"/>
      <c r="HLR102" s="7"/>
      <c r="HLS102" s="7"/>
      <c r="HLT102" s="4"/>
      <c r="HLY102" s="7"/>
      <c r="HLZ102" s="7"/>
      <c r="HMA102" s="7"/>
      <c r="HMB102" s="4"/>
      <c r="HMG102" s="7"/>
      <c r="HMH102" s="7"/>
      <c r="HMI102" s="7"/>
      <c r="HMJ102" s="4"/>
      <c r="HMO102" s="7"/>
      <c r="HMP102" s="7"/>
      <c r="HMQ102" s="7"/>
      <c r="HMR102" s="4"/>
      <c r="HMW102" s="7"/>
      <c r="HMX102" s="7"/>
      <c r="HMY102" s="7"/>
      <c r="HMZ102" s="4"/>
      <c r="HNE102" s="7"/>
      <c r="HNF102" s="7"/>
      <c r="HNG102" s="7"/>
      <c r="HNH102" s="4"/>
      <c r="HNM102" s="7"/>
      <c r="HNN102" s="7"/>
      <c r="HNO102" s="7"/>
      <c r="HNP102" s="4"/>
      <c r="HNU102" s="7"/>
      <c r="HNV102" s="7"/>
      <c r="HNW102" s="7"/>
      <c r="HNX102" s="4"/>
      <c r="HOC102" s="7"/>
      <c r="HOD102" s="7"/>
      <c r="HOE102" s="7"/>
      <c r="HOF102" s="4"/>
      <c r="HOK102" s="7"/>
      <c r="HOL102" s="7"/>
      <c r="HOM102" s="7"/>
      <c r="HON102" s="4"/>
      <c r="HOS102" s="7"/>
      <c r="HOT102" s="7"/>
      <c r="HOU102" s="7"/>
      <c r="HOV102" s="4"/>
      <c r="HPA102" s="7"/>
      <c r="HPB102" s="7"/>
      <c r="HPC102" s="7"/>
      <c r="HPD102" s="4"/>
      <c r="HPI102" s="7"/>
      <c r="HPJ102" s="7"/>
      <c r="HPK102" s="7"/>
      <c r="HPL102" s="4"/>
      <c r="HPQ102" s="7"/>
      <c r="HPR102" s="7"/>
      <c r="HPS102" s="7"/>
      <c r="HPT102" s="4"/>
      <c r="HPY102" s="7"/>
      <c r="HPZ102" s="7"/>
      <c r="HQA102" s="7"/>
      <c r="HQB102" s="4"/>
      <c r="HQG102" s="7"/>
      <c r="HQH102" s="7"/>
      <c r="HQI102" s="7"/>
      <c r="HQJ102" s="4"/>
      <c r="HQO102" s="7"/>
      <c r="HQP102" s="7"/>
      <c r="HQQ102" s="7"/>
      <c r="HQR102" s="4"/>
      <c r="HQW102" s="7"/>
      <c r="HQX102" s="7"/>
      <c r="HQY102" s="7"/>
      <c r="HQZ102" s="4"/>
      <c r="HRE102" s="7"/>
      <c r="HRF102" s="7"/>
      <c r="HRG102" s="7"/>
      <c r="HRH102" s="4"/>
      <c r="HRM102" s="7"/>
      <c r="HRN102" s="7"/>
      <c r="HRO102" s="7"/>
      <c r="HRP102" s="4"/>
      <c r="HRU102" s="7"/>
      <c r="HRV102" s="7"/>
      <c r="HRW102" s="7"/>
      <c r="HRX102" s="4"/>
      <c r="HSC102" s="7"/>
      <c r="HSD102" s="7"/>
      <c r="HSE102" s="7"/>
      <c r="HSF102" s="4"/>
      <c r="HSK102" s="7"/>
      <c r="HSL102" s="7"/>
      <c r="HSM102" s="7"/>
      <c r="HSN102" s="4"/>
      <c r="HSS102" s="7"/>
      <c r="HST102" s="7"/>
      <c r="HSU102" s="7"/>
      <c r="HSV102" s="4"/>
      <c r="HTA102" s="7"/>
      <c r="HTB102" s="7"/>
      <c r="HTC102" s="7"/>
      <c r="HTD102" s="4"/>
      <c r="HTI102" s="7"/>
      <c r="HTJ102" s="7"/>
      <c r="HTK102" s="7"/>
      <c r="HTL102" s="4"/>
      <c r="HTQ102" s="7"/>
      <c r="HTR102" s="7"/>
      <c r="HTS102" s="7"/>
      <c r="HTT102" s="4"/>
      <c r="HTY102" s="7"/>
      <c r="HTZ102" s="7"/>
      <c r="HUA102" s="7"/>
      <c r="HUB102" s="4"/>
      <c r="HUG102" s="7"/>
      <c r="HUH102" s="7"/>
      <c r="HUI102" s="7"/>
      <c r="HUJ102" s="4"/>
      <c r="HUO102" s="7"/>
      <c r="HUP102" s="7"/>
      <c r="HUQ102" s="7"/>
      <c r="HUR102" s="4"/>
      <c r="HUW102" s="7"/>
      <c r="HUX102" s="7"/>
      <c r="HUY102" s="7"/>
      <c r="HUZ102" s="4"/>
      <c r="HVE102" s="7"/>
      <c r="HVF102" s="7"/>
      <c r="HVG102" s="7"/>
      <c r="HVH102" s="4"/>
      <c r="HVM102" s="7"/>
      <c r="HVN102" s="7"/>
      <c r="HVO102" s="7"/>
      <c r="HVP102" s="4"/>
      <c r="HVU102" s="7"/>
      <c r="HVV102" s="7"/>
      <c r="HVW102" s="7"/>
      <c r="HVX102" s="4"/>
      <c r="HWC102" s="7"/>
      <c r="HWD102" s="7"/>
      <c r="HWE102" s="7"/>
      <c r="HWF102" s="4"/>
      <c r="HWK102" s="7"/>
      <c r="HWL102" s="7"/>
      <c r="HWM102" s="7"/>
      <c r="HWN102" s="4"/>
      <c r="HWS102" s="7"/>
      <c r="HWT102" s="7"/>
      <c r="HWU102" s="7"/>
      <c r="HWV102" s="4"/>
      <c r="HXA102" s="7"/>
      <c r="HXB102" s="7"/>
      <c r="HXC102" s="7"/>
      <c r="HXD102" s="4"/>
      <c r="HXI102" s="7"/>
      <c r="HXJ102" s="7"/>
      <c r="HXK102" s="7"/>
      <c r="HXL102" s="4"/>
      <c r="HXQ102" s="7"/>
      <c r="HXR102" s="7"/>
      <c r="HXS102" s="7"/>
      <c r="HXT102" s="4"/>
      <c r="HXY102" s="7"/>
      <c r="HXZ102" s="7"/>
      <c r="HYA102" s="7"/>
      <c r="HYB102" s="4"/>
      <c r="HYG102" s="7"/>
      <c r="HYH102" s="7"/>
      <c r="HYI102" s="7"/>
      <c r="HYJ102" s="4"/>
      <c r="HYO102" s="7"/>
      <c r="HYP102" s="7"/>
      <c r="HYQ102" s="7"/>
      <c r="HYR102" s="4"/>
      <c r="HYW102" s="7"/>
      <c r="HYX102" s="7"/>
      <c r="HYY102" s="7"/>
      <c r="HYZ102" s="4"/>
      <c r="HZE102" s="7"/>
      <c r="HZF102" s="7"/>
      <c r="HZG102" s="7"/>
      <c r="HZH102" s="4"/>
      <c r="HZM102" s="7"/>
      <c r="HZN102" s="7"/>
      <c r="HZO102" s="7"/>
      <c r="HZP102" s="4"/>
      <c r="HZU102" s="7"/>
      <c r="HZV102" s="7"/>
      <c r="HZW102" s="7"/>
      <c r="HZX102" s="4"/>
      <c r="IAC102" s="7"/>
      <c r="IAD102" s="7"/>
      <c r="IAE102" s="7"/>
      <c r="IAF102" s="4"/>
      <c r="IAK102" s="7"/>
      <c r="IAL102" s="7"/>
      <c r="IAM102" s="7"/>
      <c r="IAN102" s="4"/>
      <c r="IAS102" s="7"/>
      <c r="IAT102" s="7"/>
      <c r="IAU102" s="7"/>
      <c r="IAV102" s="4"/>
      <c r="IBA102" s="7"/>
      <c r="IBB102" s="7"/>
      <c r="IBC102" s="7"/>
      <c r="IBD102" s="4"/>
      <c r="IBI102" s="7"/>
      <c r="IBJ102" s="7"/>
      <c r="IBK102" s="7"/>
      <c r="IBL102" s="4"/>
      <c r="IBQ102" s="7"/>
      <c r="IBR102" s="7"/>
      <c r="IBS102" s="7"/>
      <c r="IBT102" s="4"/>
      <c r="IBY102" s="7"/>
      <c r="IBZ102" s="7"/>
      <c r="ICA102" s="7"/>
      <c r="ICB102" s="4"/>
      <c r="ICG102" s="7"/>
      <c r="ICH102" s="7"/>
      <c r="ICI102" s="7"/>
      <c r="ICJ102" s="4"/>
      <c r="ICO102" s="7"/>
      <c r="ICP102" s="7"/>
      <c r="ICQ102" s="7"/>
      <c r="ICR102" s="4"/>
      <c r="ICW102" s="7"/>
      <c r="ICX102" s="7"/>
      <c r="ICY102" s="7"/>
      <c r="ICZ102" s="4"/>
      <c r="IDE102" s="7"/>
      <c r="IDF102" s="7"/>
      <c r="IDG102" s="7"/>
      <c r="IDH102" s="4"/>
      <c r="IDM102" s="7"/>
      <c r="IDN102" s="7"/>
      <c r="IDO102" s="7"/>
      <c r="IDP102" s="4"/>
      <c r="IDU102" s="7"/>
      <c r="IDV102" s="7"/>
      <c r="IDW102" s="7"/>
      <c r="IDX102" s="4"/>
      <c r="IEC102" s="7"/>
      <c r="IED102" s="7"/>
      <c r="IEE102" s="7"/>
      <c r="IEF102" s="4"/>
      <c r="IEK102" s="7"/>
      <c r="IEL102" s="7"/>
      <c r="IEM102" s="7"/>
      <c r="IEN102" s="4"/>
      <c r="IES102" s="7"/>
      <c r="IET102" s="7"/>
      <c r="IEU102" s="7"/>
      <c r="IEV102" s="4"/>
      <c r="IFA102" s="7"/>
      <c r="IFB102" s="7"/>
      <c r="IFC102" s="7"/>
      <c r="IFD102" s="4"/>
      <c r="IFI102" s="7"/>
      <c r="IFJ102" s="7"/>
      <c r="IFK102" s="7"/>
      <c r="IFL102" s="4"/>
      <c r="IFQ102" s="7"/>
      <c r="IFR102" s="7"/>
      <c r="IFS102" s="7"/>
      <c r="IFT102" s="4"/>
      <c r="IFY102" s="7"/>
      <c r="IFZ102" s="7"/>
      <c r="IGA102" s="7"/>
      <c r="IGB102" s="4"/>
      <c r="IGG102" s="7"/>
      <c r="IGH102" s="7"/>
      <c r="IGI102" s="7"/>
      <c r="IGJ102" s="4"/>
      <c r="IGO102" s="7"/>
      <c r="IGP102" s="7"/>
      <c r="IGQ102" s="7"/>
      <c r="IGR102" s="4"/>
      <c r="IGW102" s="7"/>
      <c r="IGX102" s="7"/>
      <c r="IGY102" s="7"/>
      <c r="IGZ102" s="4"/>
      <c r="IHE102" s="7"/>
      <c r="IHF102" s="7"/>
      <c r="IHG102" s="7"/>
      <c r="IHH102" s="4"/>
      <c r="IHM102" s="7"/>
      <c r="IHN102" s="7"/>
      <c r="IHO102" s="7"/>
      <c r="IHP102" s="4"/>
      <c r="IHU102" s="7"/>
      <c r="IHV102" s="7"/>
      <c r="IHW102" s="7"/>
      <c r="IHX102" s="4"/>
      <c r="IIC102" s="7"/>
      <c r="IID102" s="7"/>
      <c r="IIE102" s="7"/>
      <c r="IIF102" s="4"/>
      <c r="IIK102" s="7"/>
      <c r="IIL102" s="7"/>
      <c r="IIM102" s="7"/>
      <c r="IIN102" s="4"/>
      <c r="IIS102" s="7"/>
      <c r="IIT102" s="7"/>
      <c r="IIU102" s="7"/>
      <c r="IIV102" s="4"/>
      <c r="IJA102" s="7"/>
      <c r="IJB102" s="7"/>
      <c r="IJC102" s="7"/>
      <c r="IJD102" s="4"/>
      <c r="IJI102" s="7"/>
      <c r="IJJ102" s="7"/>
      <c r="IJK102" s="7"/>
      <c r="IJL102" s="4"/>
      <c r="IJQ102" s="7"/>
      <c r="IJR102" s="7"/>
      <c r="IJS102" s="7"/>
      <c r="IJT102" s="4"/>
      <c r="IJY102" s="7"/>
      <c r="IJZ102" s="7"/>
      <c r="IKA102" s="7"/>
      <c r="IKB102" s="4"/>
      <c r="IKG102" s="7"/>
      <c r="IKH102" s="7"/>
      <c r="IKI102" s="7"/>
      <c r="IKJ102" s="4"/>
      <c r="IKO102" s="7"/>
      <c r="IKP102" s="7"/>
      <c r="IKQ102" s="7"/>
      <c r="IKR102" s="4"/>
      <c r="IKW102" s="7"/>
      <c r="IKX102" s="7"/>
      <c r="IKY102" s="7"/>
      <c r="IKZ102" s="4"/>
      <c r="ILE102" s="7"/>
      <c r="ILF102" s="7"/>
      <c r="ILG102" s="7"/>
      <c r="ILH102" s="4"/>
      <c r="ILM102" s="7"/>
      <c r="ILN102" s="7"/>
      <c r="ILO102" s="7"/>
      <c r="ILP102" s="4"/>
      <c r="ILU102" s="7"/>
      <c r="ILV102" s="7"/>
      <c r="ILW102" s="7"/>
      <c r="ILX102" s="4"/>
      <c r="IMC102" s="7"/>
      <c r="IMD102" s="7"/>
      <c r="IME102" s="7"/>
      <c r="IMF102" s="4"/>
      <c r="IMK102" s="7"/>
      <c r="IML102" s="7"/>
      <c r="IMM102" s="7"/>
      <c r="IMN102" s="4"/>
      <c r="IMS102" s="7"/>
      <c r="IMT102" s="7"/>
      <c r="IMU102" s="7"/>
      <c r="IMV102" s="4"/>
      <c r="INA102" s="7"/>
      <c r="INB102" s="7"/>
      <c r="INC102" s="7"/>
      <c r="IND102" s="4"/>
      <c r="INI102" s="7"/>
      <c r="INJ102" s="7"/>
      <c r="INK102" s="7"/>
      <c r="INL102" s="4"/>
      <c r="INQ102" s="7"/>
      <c r="INR102" s="7"/>
      <c r="INS102" s="7"/>
      <c r="INT102" s="4"/>
      <c r="INY102" s="7"/>
      <c r="INZ102" s="7"/>
      <c r="IOA102" s="7"/>
      <c r="IOB102" s="4"/>
      <c r="IOG102" s="7"/>
      <c r="IOH102" s="7"/>
      <c r="IOI102" s="7"/>
      <c r="IOJ102" s="4"/>
      <c r="IOO102" s="7"/>
      <c r="IOP102" s="7"/>
      <c r="IOQ102" s="7"/>
      <c r="IOR102" s="4"/>
      <c r="IOW102" s="7"/>
      <c r="IOX102" s="7"/>
      <c r="IOY102" s="7"/>
      <c r="IOZ102" s="4"/>
      <c r="IPE102" s="7"/>
      <c r="IPF102" s="7"/>
      <c r="IPG102" s="7"/>
      <c r="IPH102" s="4"/>
      <c r="IPM102" s="7"/>
      <c r="IPN102" s="7"/>
      <c r="IPO102" s="7"/>
      <c r="IPP102" s="4"/>
      <c r="IPU102" s="7"/>
      <c r="IPV102" s="7"/>
      <c r="IPW102" s="7"/>
      <c r="IPX102" s="4"/>
      <c r="IQC102" s="7"/>
      <c r="IQD102" s="7"/>
      <c r="IQE102" s="7"/>
      <c r="IQF102" s="4"/>
      <c r="IQK102" s="7"/>
      <c r="IQL102" s="7"/>
      <c r="IQM102" s="7"/>
      <c r="IQN102" s="4"/>
      <c r="IQS102" s="7"/>
      <c r="IQT102" s="7"/>
      <c r="IQU102" s="7"/>
      <c r="IQV102" s="4"/>
      <c r="IRA102" s="7"/>
      <c r="IRB102" s="7"/>
      <c r="IRC102" s="7"/>
      <c r="IRD102" s="4"/>
      <c r="IRI102" s="7"/>
      <c r="IRJ102" s="7"/>
      <c r="IRK102" s="7"/>
      <c r="IRL102" s="4"/>
      <c r="IRQ102" s="7"/>
      <c r="IRR102" s="7"/>
      <c r="IRS102" s="7"/>
      <c r="IRT102" s="4"/>
      <c r="IRY102" s="7"/>
      <c r="IRZ102" s="7"/>
      <c r="ISA102" s="7"/>
      <c r="ISB102" s="4"/>
      <c r="ISG102" s="7"/>
      <c r="ISH102" s="7"/>
      <c r="ISI102" s="7"/>
      <c r="ISJ102" s="4"/>
      <c r="ISO102" s="7"/>
      <c r="ISP102" s="7"/>
      <c r="ISQ102" s="7"/>
      <c r="ISR102" s="4"/>
      <c r="ISW102" s="7"/>
      <c r="ISX102" s="7"/>
      <c r="ISY102" s="7"/>
      <c r="ISZ102" s="4"/>
      <c r="ITE102" s="7"/>
      <c r="ITF102" s="7"/>
      <c r="ITG102" s="7"/>
      <c r="ITH102" s="4"/>
      <c r="ITM102" s="7"/>
      <c r="ITN102" s="7"/>
      <c r="ITO102" s="7"/>
      <c r="ITP102" s="4"/>
      <c r="ITU102" s="7"/>
      <c r="ITV102" s="7"/>
      <c r="ITW102" s="7"/>
      <c r="ITX102" s="4"/>
      <c r="IUC102" s="7"/>
      <c r="IUD102" s="7"/>
      <c r="IUE102" s="7"/>
      <c r="IUF102" s="4"/>
      <c r="IUK102" s="7"/>
      <c r="IUL102" s="7"/>
      <c r="IUM102" s="7"/>
      <c r="IUN102" s="4"/>
      <c r="IUS102" s="7"/>
      <c r="IUT102" s="7"/>
      <c r="IUU102" s="7"/>
      <c r="IUV102" s="4"/>
      <c r="IVA102" s="7"/>
      <c r="IVB102" s="7"/>
      <c r="IVC102" s="7"/>
      <c r="IVD102" s="4"/>
      <c r="IVI102" s="7"/>
      <c r="IVJ102" s="7"/>
      <c r="IVK102" s="7"/>
      <c r="IVL102" s="4"/>
      <c r="IVQ102" s="7"/>
      <c r="IVR102" s="7"/>
      <c r="IVS102" s="7"/>
      <c r="IVT102" s="4"/>
      <c r="IVY102" s="7"/>
      <c r="IVZ102" s="7"/>
      <c r="IWA102" s="7"/>
      <c r="IWB102" s="4"/>
      <c r="IWG102" s="7"/>
      <c r="IWH102" s="7"/>
      <c r="IWI102" s="7"/>
      <c r="IWJ102" s="4"/>
      <c r="IWO102" s="7"/>
      <c r="IWP102" s="7"/>
      <c r="IWQ102" s="7"/>
      <c r="IWR102" s="4"/>
      <c r="IWW102" s="7"/>
      <c r="IWX102" s="7"/>
      <c r="IWY102" s="7"/>
      <c r="IWZ102" s="4"/>
      <c r="IXE102" s="7"/>
      <c r="IXF102" s="7"/>
      <c r="IXG102" s="7"/>
      <c r="IXH102" s="4"/>
      <c r="IXM102" s="7"/>
      <c r="IXN102" s="7"/>
      <c r="IXO102" s="7"/>
      <c r="IXP102" s="4"/>
      <c r="IXU102" s="7"/>
      <c r="IXV102" s="7"/>
      <c r="IXW102" s="7"/>
      <c r="IXX102" s="4"/>
      <c r="IYC102" s="7"/>
      <c r="IYD102" s="7"/>
      <c r="IYE102" s="7"/>
      <c r="IYF102" s="4"/>
      <c r="IYK102" s="7"/>
      <c r="IYL102" s="7"/>
      <c r="IYM102" s="7"/>
      <c r="IYN102" s="4"/>
      <c r="IYS102" s="7"/>
      <c r="IYT102" s="7"/>
      <c r="IYU102" s="7"/>
      <c r="IYV102" s="4"/>
      <c r="IZA102" s="7"/>
      <c r="IZB102" s="7"/>
      <c r="IZC102" s="7"/>
      <c r="IZD102" s="4"/>
      <c r="IZI102" s="7"/>
      <c r="IZJ102" s="7"/>
      <c r="IZK102" s="7"/>
      <c r="IZL102" s="4"/>
      <c r="IZQ102" s="7"/>
      <c r="IZR102" s="7"/>
      <c r="IZS102" s="7"/>
      <c r="IZT102" s="4"/>
      <c r="IZY102" s="7"/>
      <c r="IZZ102" s="7"/>
      <c r="JAA102" s="7"/>
      <c r="JAB102" s="4"/>
      <c r="JAG102" s="7"/>
      <c r="JAH102" s="7"/>
      <c r="JAI102" s="7"/>
      <c r="JAJ102" s="4"/>
      <c r="JAO102" s="7"/>
      <c r="JAP102" s="7"/>
      <c r="JAQ102" s="7"/>
      <c r="JAR102" s="4"/>
      <c r="JAW102" s="7"/>
      <c r="JAX102" s="7"/>
      <c r="JAY102" s="7"/>
      <c r="JAZ102" s="4"/>
      <c r="JBE102" s="7"/>
      <c r="JBF102" s="7"/>
      <c r="JBG102" s="7"/>
      <c r="JBH102" s="4"/>
      <c r="JBM102" s="7"/>
      <c r="JBN102" s="7"/>
      <c r="JBO102" s="7"/>
      <c r="JBP102" s="4"/>
      <c r="JBU102" s="7"/>
      <c r="JBV102" s="7"/>
      <c r="JBW102" s="7"/>
      <c r="JBX102" s="4"/>
      <c r="JCC102" s="7"/>
      <c r="JCD102" s="7"/>
      <c r="JCE102" s="7"/>
      <c r="JCF102" s="4"/>
      <c r="JCK102" s="7"/>
      <c r="JCL102" s="7"/>
      <c r="JCM102" s="7"/>
      <c r="JCN102" s="4"/>
      <c r="JCS102" s="7"/>
      <c r="JCT102" s="7"/>
      <c r="JCU102" s="7"/>
      <c r="JCV102" s="4"/>
      <c r="JDA102" s="7"/>
      <c r="JDB102" s="7"/>
      <c r="JDC102" s="7"/>
      <c r="JDD102" s="4"/>
      <c r="JDI102" s="7"/>
      <c r="JDJ102" s="7"/>
      <c r="JDK102" s="7"/>
      <c r="JDL102" s="4"/>
      <c r="JDQ102" s="7"/>
      <c r="JDR102" s="7"/>
      <c r="JDS102" s="7"/>
      <c r="JDT102" s="4"/>
      <c r="JDY102" s="7"/>
      <c r="JDZ102" s="7"/>
      <c r="JEA102" s="7"/>
      <c r="JEB102" s="4"/>
      <c r="JEG102" s="7"/>
      <c r="JEH102" s="7"/>
      <c r="JEI102" s="7"/>
      <c r="JEJ102" s="4"/>
      <c r="JEO102" s="7"/>
      <c r="JEP102" s="7"/>
      <c r="JEQ102" s="7"/>
      <c r="JER102" s="4"/>
      <c r="JEW102" s="7"/>
      <c r="JEX102" s="7"/>
      <c r="JEY102" s="7"/>
      <c r="JEZ102" s="4"/>
      <c r="JFE102" s="7"/>
      <c r="JFF102" s="7"/>
      <c r="JFG102" s="7"/>
      <c r="JFH102" s="4"/>
      <c r="JFM102" s="7"/>
      <c r="JFN102" s="7"/>
      <c r="JFO102" s="7"/>
      <c r="JFP102" s="4"/>
      <c r="JFU102" s="7"/>
      <c r="JFV102" s="7"/>
      <c r="JFW102" s="7"/>
      <c r="JFX102" s="4"/>
      <c r="JGC102" s="7"/>
      <c r="JGD102" s="7"/>
      <c r="JGE102" s="7"/>
      <c r="JGF102" s="4"/>
      <c r="JGK102" s="7"/>
      <c r="JGL102" s="7"/>
      <c r="JGM102" s="7"/>
      <c r="JGN102" s="4"/>
      <c r="JGS102" s="7"/>
      <c r="JGT102" s="7"/>
      <c r="JGU102" s="7"/>
      <c r="JGV102" s="4"/>
      <c r="JHA102" s="7"/>
      <c r="JHB102" s="7"/>
      <c r="JHC102" s="7"/>
      <c r="JHD102" s="4"/>
      <c r="JHI102" s="7"/>
      <c r="JHJ102" s="7"/>
      <c r="JHK102" s="7"/>
      <c r="JHL102" s="4"/>
      <c r="JHQ102" s="7"/>
      <c r="JHR102" s="7"/>
      <c r="JHS102" s="7"/>
      <c r="JHT102" s="4"/>
      <c r="JHY102" s="7"/>
      <c r="JHZ102" s="7"/>
      <c r="JIA102" s="7"/>
      <c r="JIB102" s="4"/>
      <c r="JIG102" s="7"/>
      <c r="JIH102" s="7"/>
      <c r="JII102" s="7"/>
      <c r="JIJ102" s="4"/>
      <c r="JIO102" s="7"/>
      <c r="JIP102" s="7"/>
      <c r="JIQ102" s="7"/>
      <c r="JIR102" s="4"/>
      <c r="JIW102" s="7"/>
      <c r="JIX102" s="7"/>
      <c r="JIY102" s="7"/>
      <c r="JIZ102" s="4"/>
      <c r="JJE102" s="7"/>
      <c r="JJF102" s="7"/>
      <c r="JJG102" s="7"/>
      <c r="JJH102" s="4"/>
      <c r="JJM102" s="7"/>
      <c r="JJN102" s="7"/>
      <c r="JJO102" s="7"/>
      <c r="JJP102" s="4"/>
      <c r="JJU102" s="7"/>
      <c r="JJV102" s="7"/>
      <c r="JJW102" s="7"/>
      <c r="JJX102" s="4"/>
      <c r="JKC102" s="7"/>
      <c r="JKD102" s="7"/>
      <c r="JKE102" s="7"/>
      <c r="JKF102" s="4"/>
      <c r="JKK102" s="7"/>
      <c r="JKL102" s="7"/>
      <c r="JKM102" s="7"/>
      <c r="JKN102" s="4"/>
      <c r="JKS102" s="7"/>
      <c r="JKT102" s="7"/>
      <c r="JKU102" s="7"/>
      <c r="JKV102" s="4"/>
      <c r="JLA102" s="7"/>
      <c r="JLB102" s="7"/>
      <c r="JLC102" s="7"/>
      <c r="JLD102" s="4"/>
      <c r="JLI102" s="7"/>
      <c r="JLJ102" s="7"/>
      <c r="JLK102" s="7"/>
      <c r="JLL102" s="4"/>
      <c r="JLQ102" s="7"/>
      <c r="JLR102" s="7"/>
      <c r="JLS102" s="7"/>
      <c r="JLT102" s="4"/>
      <c r="JLY102" s="7"/>
      <c r="JLZ102" s="7"/>
      <c r="JMA102" s="7"/>
      <c r="JMB102" s="4"/>
      <c r="JMG102" s="7"/>
      <c r="JMH102" s="7"/>
      <c r="JMI102" s="7"/>
      <c r="JMJ102" s="4"/>
      <c r="JMO102" s="7"/>
      <c r="JMP102" s="7"/>
      <c r="JMQ102" s="7"/>
      <c r="JMR102" s="4"/>
      <c r="JMW102" s="7"/>
      <c r="JMX102" s="7"/>
      <c r="JMY102" s="7"/>
      <c r="JMZ102" s="4"/>
      <c r="JNE102" s="7"/>
      <c r="JNF102" s="7"/>
      <c r="JNG102" s="7"/>
      <c r="JNH102" s="4"/>
      <c r="JNM102" s="7"/>
      <c r="JNN102" s="7"/>
      <c r="JNO102" s="7"/>
      <c r="JNP102" s="4"/>
      <c r="JNU102" s="7"/>
      <c r="JNV102" s="7"/>
      <c r="JNW102" s="7"/>
      <c r="JNX102" s="4"/>
      <c r="JOC102" s="7"/>
      <c r="JOD102" s="7"/>
      <c r="JOE102" s="7"/>
      <c r="JOF102" s="4"/>
      <c r="JOK102" s="7"/>
      <c r="JOL102" s="7"/>
      <c r="JOM102" s="7"/>
      <c r="JON102" s="4"/>
      <c r="JOS102" s="7"/>
      <c r="JOT102" s="7"/>
      <c r="JOU102" s="7"/>
      <c r="JOV102" s="4"/>
      <c r="JPA102" s="7"/>
      <c r="JPB102" s="7"/>
      <c r="JPC102" s="7"/>
      <c r="JPD102" s="4"/>
      <c r="JPI102" s="7"/>
      <c r="JPJ102" s="7"/>
      <c r="JPK102" s="7"/>
      <c r="JPL102" s="4"/>
      <c r="JPQ102" s="7"/>
      <c r="JPR102" s="7"/>
      <c r="JPS102" s="7"/>
      <c r="JPT102" s="4"/>
      <c r="JPY102" s="7"/>
      <c r="JPZ102" s="7"/>
      <c r="JQA102" s="7"/>
      <c r="JQB102" s="4"/>
      <c r="JQG102" s="7"/>
      <c r="JQH102" s="7"/>
      <c r="JQI102" s="7"/>
      <c r="JQJ102" s="4"/>
      <c r="JQO102" s="7"/>
      <c r="JQP102" s="7"/>
      <c r="JQQ102" s="7"/>
      <c r="JQR102" s="4"/>
      <c r="JQW102" s="7"/>
      <c r="JQX102" s="7"/>
      <c r="JQY102" s="7"/>
      <c r="JQZ102" s="4"/>
      <c r="JRE102" s="7"/>
      <c r="JRF102" s="7"/>
      <c r="JRG102" s="7"/>
      <c r="JRH102" s="4"/>
      <c r="JRM102" s="7"/>
      <c r="JRN102" s="7"/>
      <c r="JRO102" s="7"/>
      <c r="JRP102" s="4"/>
      <c r="JRU102" s="7"/>
      <c r="JRV102" s="7"/>
      <c r="JRW102" s="7"/>
      <c r="JRX102" s="4"/>
      <c r="JSC102" s="7"/>
      <c r="JSD102" s="7"/>
      <c r="JSE102" s="7"/>
      <c r="JSF102" s="4"/>
      <c r="JSK102" s="7"/>
      <c r="JSL102" s="7"/>
      <c r="JSM102" s="7"/>
      <c r="JSN102" s="4"/>
      <c r="JSS102" s="7"/>
      <c r="JST102" s="7"/>
      <c r="JSU102" s="7"/>
      <c r="JSV102" s="4"/>
      <c r="JTA102" s="7"/>
      <c r="JTB102" s="7"/>
      <c r="JTC102" s="7"/>
      <c r="JTD102" s="4"/>
      <c r="JTI102" s="7"/>
      <c r="JTJ102" s="7"/>
      <c r="JTK102" s="7"/>
      <c r="JTL102" s="4"/>
      <c r="JTQ102" s="7"/>
      <c r="JTR102" s="7"/>
      <c r="JTS102" s="7"/>
      <c r="JTT102" s="4"/>
      <c r="JTY102" s="7"/>
      <c r="JTZ102" s="7"/>
      <c r="JUA102" s="7"/>
      <c r="JUB102" s="4"/>
      <c r="JUG102" s="7"/>
      <c r="JUH102" s="7"/>
      <c r="JUI102" s="7"/>
      <c r="JUJ102" s="4"/>
      <c r="JUO102" s="7"/>
      <c r="JUP102" s="7"/>
      <c r="JUQ102" s="7"/>
      <c r="JUR102" s="4"/>
      <c r="JUW102" s="7"/>
      <c r="JUX102" s="7"/>
      <c r="JUY102" s="7"/>
      <c r="JUZ102" s="4"/>
      <c r="JVE102" s="7"/>
      <c r="JVF102" s="7"/>
      <c r="JVG102" s="7"/>
      <c r="JVH102" s="4"/>
      <c r="JVM102" s="7"/>
      <c r="JVN102" s="7"/>
      <c r="JVO102" s="7"/>
      <c r="JVP102" s="4"/>
      <c r="JVU102" s="7"/>
      <c r="JVV102" s="7"/>
      <c r="JVW102" s="7"/>
      <c r="JVX102" s="4"/>
      <c r="JWC102" s="7"/>
      <c r="JWD102" s="7"/>
      <c r="JWE102" s="7"/>
      <c r="JWF102" s="4"/>
      <c r="JWK102" s="7"/>
      <c r="JWL102" s="7"/>
      <c r="JWM102" s="7"/>
      <c r="JWN102" s="4"/>
      <c r="JWS102" s="7"/>
      <c r="JWT102" s="7"/>
      <c r="JWU102" s="7"/>
      <c r="JWV102" s="4"/>
      <c r="JXA102" s="7"/>
      <c r="JXB102" s="7"/>
      <c r="JXC102" s="7"/>
      <c r="JXD102" s="4"/>
      <c r="JXI102" s="7"/>
      <c r="JXJ102" s="7"/>
      <c r="JXK102" s="7"/>
      <c r="JXL102" s="4"/>
      <c r="JXQ102" s="7"/>
      <c r="JXR102" s="7"/>
      <c r="JXS102" s="7"/>
      <c r="JXT102" s="4"/>
      <c r="JXY102" s="7"/>
      <c r="JXZ102" s="7"/>
      <c r="JYA102" s="7"/>
      <c r="JYB102" s="4"/>
      <c r="JYG102" s="7"/>
      <c r="JYH102" s="7"/>
      <c r="JYI102" s="7"/>
      <c r="JYJ102" s="4"/>
      <c r="JYO102" s="7"/>
      <c r="JYP102" s="7"/>
      <c r="JYQ102" s="7"/>
      <c r="JYR102" s="4"/>
      <c r="JYW102" s="7"/>
      <c r="JYX102" s="7"/>
      <c r="JYY102" s="7"/>
      <c r="JYZ102" s="4"/>
      <c r="JZE102" s="7"/>
      <c r="JZF102" s="7"/>
      <c r="JZG102" s="7"/>
      <c r="JZH102" s="4"/>
      <c r="JZM102" s="7"/>
      <c r="JZN102" s="7"/>
      <c r="JZO102" s="7"/>
      <c r="JZP102" s="4"/>
      <c r="JZU102" s="7"/>
      <c r="JZV102" s="7"/>
      <c r="JZW102" s="7"/>
      <c r="JZX102" s="4"/>
      <c r="KAC102" s="7"/>
      <c r="KAD102" s="7"/>
      <c r="KAE102" s="7"/>
      <c r="KAF102" s="4"/>
      <c r="KAK102" s="7"/>
      <c r="KAL102" s="7"/>
      <c r="KAM102" s="7"/>
      <c r="KAN102" s="4"/>
      <c r="KAS102" s="7"/>
      <c r="KAT102" s="7"/>
      <c r="KAU102" s="7"/>
      <c r="KAV102" s="4"/>
      <c r="KBA102" s="7"/>
      <c r="KBB102" s="7"/>
      <c r="KBC102" s="7"/>
      <c r="KBD102" s="4"/>
      <c r="KBI102" s="7"/>
      <c r="KBJ102" s="7"/>
      <c r="KBK102" s="7"/>
      <c r="KBL102" s="4"/>
      <c r="KBQ102" s="7"/>
      <c r="KBR102" s="7"/>
      <c r="KBS102" s="7"/>
      <c r="KBT102" s="4"/>
      <c r="KBY102" s="7"/>
      <c r="KBZ102" s="7"/>
      <c r="KCA102" s="7"/>
      <c r="KCB102" s="4"/>
      <c r="KCG102" s="7"/>
      <c r="KCH102" s="7"/>
      <c r="KCI102" s="7"/>
      <c r="KCJ102" s="4"/>
      <c r="KCO102" s="7"/>
      <c r="KCP102" s="7"/>
      <c r="KCQ102" s="7"/>
      <c r="KCR102" s="4"/>
      <c r="KCW102" s="7"/>
      <c r="KCX102" s="7"/>
      <c r="KCY102" s="7"/>
      <c r="KCZ102" s="4"/>
      <c r="KDE102" s="7"/>
      <c r="KDF102" s="7"/>
      <c r="KDG102" s="7"/>
      <c r="KDH102" s="4"/>
      <c r="KDM102" s="7"/>
      <c r="KDN102" s="7"/>
      <c r="KDO102" s="7"/>
      <c r="KDP102" s="4"/>
      <c r="KDU102" s="7"/>
      <c r="KDV102" s="7"/>
      <c r="KDW102" s="7"/>
      <c r="KDX102" s="4"/>
      <c r="KEC102" s="7"/>
      <c r="KED102" s="7"/>
      <c r="KEE102" s="7"/>
      <c r="KEF102" s="4"/>
      <c r="KEK102" s="7"/>
      <c r="KEL102" s="7"/>
      <c r="KEM102" s="7"/>
      <c r="KEN102" s="4"/>
      <c r="KES102" s="7"/>
      <c r="KET102" s="7"/>
      <c r="KEU102" s="7"/>
      <c r="KEV102" s="4"/>
      <c r="KFA102" s="7"/>
      <c r="KFB102" s="7"/>
      <c r="KFC102" s="7"/>
      <c r="KFD102" s="4"/>
      <c r="KFI102" s="7"/>
      <c r="KFJ102" s="7"/>
      <c r="KFK102" s="7"/>
      <c r="KFL102" s="4"/>
      <c r="KFQ102" s="7"/>
      <c r="KFR102" s="7"/>
      <c r="KFS102" s="7"/>
      <c r="KFT102" s="4"/>
      <c r="KFY102" s="7"/>
      <c r="KFZ102" s="7"/>
      <c r="KGA102" s="7"/>
      <c r="KGB102" s="4"/>
      <c r="KGG102" s="7"/>
      <c r="KGH102" s="7"/>
      <c r="KGI102" s="7"/>
      <c r="KGJ102" s="4"/>
      <c r="KGO102" s="7"/>
      <c r="KGP102" s="7"/>
      <c r="KGQ102" s="7"/>
      <c r="KGR102" s="4"/>
      <c r="KGW102" s="7"/>
      <c r="KGX102" s="7"/>
      <c r="KGY102" s="7"/>
      <c r="KGZ102" s="4"/>
      <c r="KHE102" s="7"/>
      <c r="KHF102" s="7"/>
      <c r="KHG102" s="7"/>
      <c r="KHH102" s="4"/>
      <c r="KHM102" s="7"/>
      <c r="KHN102" s="7"/>
      <c r="KHO102" s="7"/>
      <c r="KHP102" s="4"/>
      <c r="KHU102" s="7"/>
      <c r="KHV102" s="7"/>
      <c r="KHW102" s="7"/>
      <c r="KHX102" s="4"/>
      <c r="KIC102" s="7"/>
      <c r="KID102" s="7"/>
      <c r="KIE102" s="7"/>
      <c r="KIF102" s="4"/>
      <c r="KIK102" s="7"/>
      <c r="KIL102" s="7"/>
      <c r="KIM102" s="7"/>
      <c r="KIN102" s="4"/>
      <c r="KIS102" s="7"/>
      <c r="KIT102" s="7"/>
      <c r="KIU102" s="7"/>
      <c r="KIV102" s="4"/>
      <c r="KJA102" s="7"/>
      <c r="KJB102" s="7"/>
      <c r="KJC102" s="7"/>
      <c r="KJD102" s="4"/>
      <c r="KJI102" s="7"/>
      <c r="KJJ102" s="7"/>
      <c r="KJK102" s="7"/>
      <c r="KJL102" s="4"/>
      <c r="KJQ102" s="7"/>
      <c r="KJR102" s="7"/>
      <c r="KJS102" s="7"/>
      <c r="KJT102" s="4"/>
      <c r="KJY102" s="7"/>
      <c r="KJZ102" s="7"/>
      <c r="KKA102" s="7"/>
      <c r="KKB102" s="4"/>
      <c r="KKG102" s="7"/>
      <c r="KKH102" s="7"/>
      <c r="KKI102" s="7"/>
      <c r="KKJ102" s="4"/>
      <c r="KKO102" s="7"/>
      <c r="KKP102" s="7"/>
      <c r="KKQ102" s="7"/>
      <c r="KKR102" s="4"/>
      <c r="KKW102" s="7"/>
      <c r="KKX102" s="7"/>
      <c r="KKY102" s="7"/>
      <c r="KKZ102" s="4"/>
      <c r="KLE102" s="7"/>
      <c r="KLF102" s="7"/>
      <c r="KLG102" s="7"/>
      <c r="KLH102" s="4"/>
      <c r="KLM102" s="7"/>
      <c r="KLN102" s="7"/>
      <c r="KLO102" s="7"/>
      <c r="KLP102" s="4"/>
      <c r="KLU102" s="7"/>
      <c r="KLV102" s="7"/>
      <c r="KLW102" s="7"/>
      <c r="KLX102" s="4"/>
      <c r="KMC102" s="7"/>
      <c r="KMD102" s="7"/>
      <c r="KME102" s="7"/>
      <c r="KMF102" s="4"/>
      <c r="KMK102" s="7"/>
      <c r="KML102" s="7"/>
      <c r="KMM102" s="7"/>
      <c r="KMN102" s="4"/>
      <c r="KMS102" s="7"/>
      <c r="KMT102" s="7"/>
      <c r="KMU102" s="7"/>
      <c r="KMV102" s="4"/>
      <c r="KNA102" s="7"/>
      <c r="KNB102" s="7"/>
      <c r="KNC102" s="7"/>
      <c r="KND102" s="4"/>
      <c r="KNI102" s="7"/>
      <c r="KNJ102" s="7"/>
      <c r="KNK102" s="7"/>
      <c r="KNL102" s="4"/>
      <c r="KNQ102" s="7"/>
      <c r="KNR102" s="7"/>
      <c r="KNS102" s="7"/>
      <c r="KNT102" s="4"/>
      <c r="KNY102" s="7"/>
      <c r="KNZ102" s="7"/>
      <c r="KOA102" s="7"/>
      <c r="KOB102" s="4"/>
      <c r="KOG102" s="7"/>
      <c r="KOH102" s="7"/>
      <c r="KOI102" s="7"/>
      <c r="KOJ102" s="4"/>
      <c r="KOO102" s="7"/>
      <c r="KOP102" s="7"/>
      <c r="KOQ102" s="7"/>
      <c r="KOR102" s="4"/>
      <c r="KOW102" s="7"/>
      <c r="KOX102" s="7"/>
      <c r="KOY102" s="7"/>
      <c r="KOZ102" s="4"/>
      <c r="KPE102" s="7"/>
      <c r="KPF102" s="7"/>
      <c r="KPG102" s="7"/>
      <c r="KPH102" s="4"/>
      <c r="KPM102" s="7"/>
      <c r="KPN102" s="7"/>
      <c r="KPO102" s="7"/>
      <c r="KPP102" s="4"/>
      <c r="KPU102" s="7"/>
      <c r="KPV102" s="7"/>
      <c r="KPW102" s="7"/>
      <c r="KPX102" s="4"/>
      <c r="KQC102" s="7"/>
      <c r="KQD102" s="7"/>
      <c r="KQE102" s="7"/>
      <c r="KQF102" s="4"/>
      <c r="KQK102" s="7"/>
      <c r="KQL102" s="7"/>
      <c r="KQM102" s="7"/>
      <c r="KQN102" s="4"/>
      <c r="KQS102" s="7"/>
      <c r="KQT102" s="7"/>
      <c r="KQU102" s="7"/>
      <c r="KQV102" s="4"/>
      <c r="KRA102" s="7"/>
      <c r="KRB102" s="7"/>
      <c r="KRC102" s="7"/>
      <c r="KRD102" s="4"/>
      <c r="KRI102" s="7"/>
      <c r="KRJ102" s="7"/>
      <c r="KRK102" s="7"/>
      <c r="KRL102" s="4"/>
      <c r="KRQ102" s="7"/>
      <c r="KRR102" s="7"/>
      <c r="KRS102" s="7"/>
      <c r="KRT102" s="4"/>
      <c r="KRY102" s="7"/>
      <c r="KRZ102" s="7"/>
      <c r="KSA102" s="7"/>
      <c r="KSB102" s="4"/>
      <c r="KSG102" s="7"/>
      <c r="KSH102" s="7"/>
      <c r="KSI102" s="7"/>
      <c r="KSJ102" s="4"/>
      <c r="KSO102" s="7"/>
      <c r="KSP102" s="7"/>
      <c r="KSQ102" s="7"/>
      <c r="KSR102" s="4"/>
      <c r="KSW102" s="7"/>
      <c r="KSX102" s="7"/>
      <c r="KSY102" s="7"/>
      <c r="KSZ102" s="4"/>
      <c r="KTE102" s="7"/>
      <c r="KTF102" s="7"/>
      <c r="KTG102" s="7"/>
      <c r="KTH102" s="4"/>
      <c r="KTM102" s="7"/>
      <c r="KTN102" s="7"/>
      <c r="KTO102" s="7"/>
      <c r="KTP102" s="4"/>
      <c r="KTU102" s="7"/>
      <c r="KTV102" s="7"/>
      <c r="KTW102" s="7"/>
      <c r="KTX102" s="4"/>
      <c r="KUC102" s="7"/>
      <c r="KUD102" s="7"/>
      <c r="KUE102" s="7"/>
      <c r="KUF102" s="4"/>
      <c r="KUK102" s="7"/>
      <c r="KUL102" s="7"/>
      <c r="KUM102" s="7"/>
      <c r="KUN102" s="4"/>
      <c r="KUS102" s="7"/>
      <c r="KUT102" s="7"/>
      <c r="KUU102" s="7"/>
      <c r="KUV102" s="4"/>
      <c r="KVA102" s="7"/>
      <c r="KVB102" s="7"/>
      <c r="KVC102" s="7"/>
      <c r="KVD102" s="4"/>
      <c r="KVI102" s="7"/>
      <c r="KVJ102" s="7"/>
      <c r="KVK102" s="7"/>
      <c r="KVL102" s="4"/>
      <c r="KVQ102" s="7"/>
      <c r="KVR102" s="7"/>
      <c r="KVS102" s="7"/>
      <c r="KVT102" s="4"/>
      <c r="KVY102" s="7"/>
      <c r="KVZ102" s="7"/>
      <c r="KWA102" s="7"/>
      <c r="KWB102" s="4"/>
      <c r="KWG102" s="7"/>
      <c r="KWH102" s="7"/>
      <c r="KWI102" s="7"/>
      <c r="KWJ102" s="4"/>
      <c r="KWO102" s="7"/>
      <c r="KWP102" s="7"/>
      <c r="KWQ102" s="7"/>
      <c r="KWR102" s="4"/>
      <c r="KWW102" s="7"/>
      <c r="KWX102" s="7"/>
      <c r="KWY102" s="7"/>
      <c r="KWZ102" s="4"/>
      <c r="KXE102" s="7"/>
      <c r="KXF102" s="7"/>
      <c r="KXG102" s="7"/>
      <c r="KXH102" s="4"/>
      <c r="KXM102" s="7"/>
      <c r="KXN102" s="7"/>
      <c r="KXO102" s="7"/>
      <c r="KXP102" s="4"/>
      <c r="KXU102" s="7"/>
      <c r="KXV102" s="7"/>
      <c r="KXW102" s="7"/>
      <c r="KXX102" s="4"/>
      <c r="KYC102" s="7"/>
      <c r="KYD102" s="7"/>
      <c r="KYE102" s="7"/>
      <c r="KYF102" s="4"/>
      <c r="KYK102" s="7"/>
      <c r="KYL102" s="7"/>
      <c r="KYM102" s="7"/>
      <c r="KYN102" s="4"/>
      <c r="KYS102" s="7"/>
      <c r="KYT102" s="7"/>
      <c r="KYU102" s="7"/>
      <c r="KYV102" s="4"/>
      <c r="KZA102" s="7"/>
      <c r="KZB102" s="7"/>
      <c r="KZC102" s="7"/>
      <c r="KZD102" s="4"/>
      <c r="KZI102" s="7"/>
      <c r="KZJ102" s="7"/>
      <c r="KZK102" s="7"/>
      <c r="KZL102" s="4"/>
      <c r="KZQ102" s="7"/>
      <c r="KZR102" s="7"/>
      <c r="KZS102" s="7"/>
      <c r="KZT102" s="4"/>
      <c r="KZY102" s="7"/>
      <c r="KZZ102" s="7"/>
      <c r="LAA102" s="7"/>
      <c r="LAB102" s="4"/>
      <c r="LAG102" s="7"/>
      <c r="LAH102" s="7"/>
      <c r="LAI102" s="7"/>
      <c r="LAJ102" s="4"/>
      <c r="LAO102" s="7"/>
      <c r="LAP102" s="7"/>
      <c r="LAQ102" s="7"/>
      <c r="LAR102" s="4"/>
      <c r="LAW102" s="7"/>
      <c r="LAX102" s="7"/>
      <c r="LAY102" s="7"/>
      <c r="LAZ102" s="4"/>
      <c r="LBE102" s="7"/>
      <c r="LBF102" s="7"/>
      <c r="LBG102" s="7"/>
      <c r="LBH102" s="4"/>
      <c r="LBM102" s="7"/>
      <c r="LBN102" s="7"/>
      <c r="LBO102" s="7"/>
      <c r="LBP102" s="4"/>
      <c r="LBU102" s="7"/>
      <c r="LBV102" s="7"/>
      <c r="LBW102" s="7"/>
      <c r="LBX102" s="4"/>
      <c r="LCC102" s="7"/>
      <c r="LCD102" s="7"/>
      <c r="LCE102" s="7"/>
      <c r="LCF102" s="4"/>
      <c r="LCK102" s="7"/>
      <c r="LCL102" s="7"/>
      <c r="LCM102" s="7"/>
      <c r="LCN102" s="4"/>
      <c r="LCS102" s="7"/>
      <c r="LCT102" s="7"/>
      <c r="LCU102" s="7"/>
      <c r="LCV102" s="4"/>
      <c r="LDA102" s="7"/>
      <c r="LDB102" s="7"/>
      <c r="LDC102" s="7"/>
      <c r="LDD102" s="4"/>
      <c r="LDI102" s="7"/>
      <c r="LDJ102" s="7"/>
      <c r="LDK102" s="7"/>
      <c r="LDL102" s="4"/>
      <c r="LDQ102" s="7"/>
      <c r="LDR102" s="7"/>
      <c r="LDS102" s="7"/>
      <c r="LDT102" s="4"/>
      <c r="LDY102" s="7"/>
      <c r="LDZ102" s="7"/>
      <c r="LEA102" s="7"/>
      <c r="LEB102" s="4"/>
      <c r="LEG102" s="7"/>
      <c r="LEH102" s="7"/>
      <c r="LEI102" s="7"/>
      <c r="LEJ102" s="4"/>
      <c r="LEO102" s="7"/>
      <c r="LEP102" s="7"/>
      <c r="LEQ102" s="7"/>
      <c r="LER102" s="4"/>
      <c r="LEW102" s="7"/>
      <c r="LEX102" s="7"/>
      <c r="LEY102" s="7"/>
      <c r="LEZ102" s="4"/>
      <c r="LFE102" s="7"/>
      <c r="LFF102" s="7"/>
      <c r="LFG102" s="7"/>
      <c r="LFH102" s="4"/>
      <c r="LFM102" s="7"/>
      <c r="LFN102" s="7"/>
      <c r="LFO102" s="7"/>
      <c r="LFP102" s="4"/>
      <c r="LFU102" s="7"/>
      <c r="LFV102" s="7"/>
      <c r="LFW102" s="7"/>
      <c r="LFX102" s="4"/>
      <c r="LGC102" s="7"/>
      <c r="LGD102" s="7"/>
      <c r="LGE102" s="7"/>
      <c r="LGF102" s="4"/>
      <c r="LGK102" s="7"/>
      <c r="LGL102" s="7"/>
      <c r="LGM102" s="7"/>
      <c r="LGN102" s="4"/>
      <c r="LGS102" s="7"/>
      <c r="LGT102" s="7"/>
      <c r="LGU102" s="7"/>
      <c r="LGV102" s="4"/>
      <c r="LHA102" s="7"/>
      <c r="LHB102" s="7"/>
      <c r="LHC102" s="7"/>
      <c r="LHD102" s="4"/>
      <c r="LHI102" s="7"/>
      <c r="LHJ102" s="7"/>
      <c r="LHK102" s="7"/>
      <c r="LHL102" s="4"/>
      <c r="LHQ102" s="7"/>
      <c r="LHR102" s="7"/>
      <c r="LHS102" s="7"/>
      <c r="LHT102" s="4"/>
      <c r="LHY102" s="7"/>
      <c r="LHZ102" s="7"/>
      <c r="LIA102" s="7"/>
      <c r="LIB102" s="4"/>
      <c r="LIG102" s="7"/>
      <c r="LIH102" s="7"/>
      <c r="LII102" s="7"/>
      <c r="LIJ102" s="4"/>
      <c r="LIO102" s="7"/>
      <c r="LIP102" s="7"/>
      <c r="LIQ102" s="7"/>
      <c r="LIR102" s="4"/>
      <c r="LIW102" s="7"/>
      <c r="LIX102" s="7"/>
      <c r="LIY102" s="7"/>
      <c r="LIZ102" s="4"/>
      <c r="LJE102" s="7"/>
      <c r="LJF102" s="7"/>
      <c r="LJG102" s="7"/>
      <c r="LJH102" s="4"/>
      <c r="LJM102" s="7"/>
      <c r="LJN102" s="7"/>
      <c r="LJO102" s="7"/>
      <c r="LJP102" s="4"/>
      <c r="LJU102" s="7"/>
      <c r="LJV102" s="7"/>
      <c r="LJW102" s="7"/>
      <c r="LJX102" s="4"/>
      <c r="LKC102" s="7"/>
      <c r="LKD102" s="7"/>
      <c r="LKE102" s="7"/>
      <c r="LKF102" s="4"/>
      <c r="LKK102" s="7"/>
      <c r="LKL102" s="7"/>
      <c r="LKM102" s="7"/>
      <c r="LKN102" s="4"/>
      <c r="LKS102" s="7"/>
      <c r="LKT102" s="7"/>
      <c r="LKU102" s="7"/>
      <c r="LKV102" s="4"/>
      <c r="LLA102" s="7"/>
      <c r="LLB102" s="7"/>
      <c r="LLC102" s="7"/>
      <c r="LLD102" s="4"/>
      <c r="LLI102" s="7"/>
      <c r="LLJ102" s="7"/>
      <c r="LLK102" s="7"/>
      <c r="LLL102" s="4"/>
      <c r="LLQ102" s="7"/>
      <c r="LLR102" s="7"/>
      <c r="LLS102" s="7"/>
      <c r="LLT102" s="4"/>
      <c r="LLY102" s="7"/>
      <c r="LLZ102" s="7"/>
      <c r="LMA102" s="7"/>
      <c r="LMB102" s="4"/>
      <c r="LMG102" s="7"/>
      <c r="LMH102" s="7"/>
      <c r="LMI102" s="7"/>
      <c r="LMJ102" s="4"/>
      <c r="LMO102" s="7"/>
      <c r="LMP102" s="7"/>
      <c r="LMQ102" s="7"/>
      <c r="LMR102" s="4"/>
      <c r="LMW102" s="7"/>
      <c r="LMX102" s="7"/>
      <c r="LMY102" s="7"/>
      <c r="LMZ102" s="4"/>
      <c r="LNE102" s="7"/>
      <c r="LNF102" s="7"/>
      <c r="LNG102" s="7"/>
      <c r="LNH102" s="4"/>
      <c r="LNM102" s="7"/>
      <c r="LNN102" s="7"/>
      <c r="LNO102" s="7"/>
      <c r="LNP102" s="4"/>
      <c r="LNU102" s="7"/>
      <c r="LNV102" s="7"/>
      <c r="LNW102" s="7"/>
      <c r="LNX102" s="4"/>
      <c r="LOC102" s="7"/>
      <c r="LOD102" s="7"/>
      <c r="LOE102" s="7"/>
      <c r="LOF102" s="4"/>
      <c r="LOK102" s="7"/>
      <c r="LOL102" s="7"/>
      <c r="LOM102" s="7"/>
      <c r="LON102" s="4"/>
      <c r="LOS102" s="7"/>
      <c r="LOT102" s="7"/>
      <c r="LOU102" s="7"/>
      <c r="LOV102" s="4"/>
      <c r="LPA102" s="7"/>
      <c r="LPB102" s="7"/>
      <c r="LPC102" s="7"/>
      <c r="LPD102" s="4"/>
      <c r="LPI102" s="7"/>
      <c r="LPJ102" s="7"/>
      <c r="LPK102" s="7"/>
      <c r="LPL102" s="4"/>
      <c r="LPQ102" s="7"/>
      <c r="LPR102" s="7"/>
      <c r="LPS102" s="7"/>
      <c r="LPT102" s="4"/>
      <c r="LPY102" s="7"/>
      <c r="LPZ102" s="7"/>
      <c r="LQA102" s="7"/>
      <c r="LQB102" s="4"/>
      <c r="LQG102" s="7"/>
      <c r="LQH102" s="7"/>
      <c r="LQI102" s="7"/>
      <c r="LQJ102" s="4"/>
      <c r="LQO102" s="7"/>
      <c r="LQP102" s="7"/>
      <c r="LQQ102" s="7"/>
      <c r="LQR102" s="4"/>
      <c r="LQW102" s="7"/>
      <c r="LQX102" s="7"/>
      <c r="LQY102" s="7"/>
      <c r="LQZ102" s="4"/>
      <c r="LRE102" s="7"/>
      <c r="LRF102" s="7"/>
      <c r="LRG102" s="7"/>
      <c r="LRH102" s="4"/>
      <c r="LRM102" s="7"/>
      <c r="LRN102" s="7"/>
      <c r="LRO102" s="7"/>
      <c r="LRP102" s="4"/>
      <c r="LRU102" s="7"/>
      <c r="LRV102" s="7"/>
      <c r="LRW102" s="7"/>
      <c r="LRX102" s="4"/>
      <c r="LSC102" s="7"/>
      <c r="LSD102" s="7"/>
      <c r="LSE102" s="7"/>
      <c r="LSF102" s="4"/>
      <c r="LSK102" s="7"/>
      <c r="LSL102" s="7"/>
      <c r="LSM102" s="7"/>
      <c r="LSN102" s="4"/>
      <c r="LSS102" s="7"/>
      <c r="LST102" s="7"/>
      <c r="LSU102" s="7"/>
      <c r="LSV102" s="4"/>
      <c r="LTA102" s="7"/>
      <c r="LTB102" s="7"/>
      <c r="LTC102" s="7"/>
      <c r="LTD102" s="4"/>
      <c r="LTI102" s="7"/>
      <c r="LTJ102" s="7"/>
      <c r="LTK102" s="7"/>
      <c r="LTL102" s="4"/>
      <c r="LTQ102" s="7"/>
      <c r="LTR102" s="7"/>
      <c r="LTS102" s="7"/>
      <c r="LTT102" s="4"/>
      <c r="LTY102" s="7"/>
      <c r="LTZ102" s="7"/>
      <c r="LUA102" s="7"/>
      <c r="LUB102" s="4"/>
      <c r="LUG102" s="7"/>
      <c r="LUH102" s="7"/>
      <c r="LUI102" s="7"/>
      <c r="LUJ102" s="4"/>
      <c r="LUO102" s="7"/>
      <c r="LUP102" s="7"/>
      <c r="LUQ102" s="7"/>
      <c r="LUR102" s="4"/>
      <c r="LUW102" s="7"/>
      <c r="LUX102" s="7"/>
      <c r="LUY102" s="7"/>
      <c r="LUZ102" s="4"/>
      <c r="LVE102" s="7"/>
      <c r="LVF102" s="7"/>
      <c r="LVG102" s="7"/>
      <c r="LVH102" s="4"/>
      <c r="LVM102" s="7"/>
      <c r="LVN102" s="7"/>
      <c r="LVO102" s="7"/>
      <c r="LVP102" s="4"/>
      <c r="LVU102" s="7"/>
      <c r="LVV102" s="7"/>
      <c r="LVW102" s="7"/>
      <c r="LVX102" s="4"/>
      <c r="LWC102" s="7"/>
      <c r="LWD102" s="7"/>
      <c r="LWE102" s="7"/>
      <c r="LWF102" s="4"/>
      <c r="LWK102" s="7"/>
      <c r="LWL102" s="7"/>
      <c r="LWM102" s="7"/>
      <c r="LWN102" s="4"/>
      <c r="LWS102" s="7"/>
      <c r="LWT102" s="7"/>
      <c r="LWU102" s="7"/>
      <c r="LWV102" s="4"/>
      <c r="LXA102" s="7"/>
      <c r="LXB102" s="7"/>
      <c r="LXC102" s="7"/>
      <c r="LXD102" s="4"/>
      <c r="LXI102" s="7"/>
      <c r="LXJ102" s="7"/>
      <c r="LXK102" s="7"/>
      <c r="LXL102" s="4"/>
      <c r="LXQ102" s="7"/>
      <c r="LXR102" s="7"/>
      <c r="LXS102" s="7"/>
      <c r="LXT102" s="4"/>
      <c r="LXY102" s="7"/>
      <c r="LXZ102" s="7"/>
      <c r="LYA102" s="7"/>
      <c r="LYB102" s="4"/>
      <c r="LYG102" s="7"/>
      <c r="LYH102" s="7"/>
      <c r="LYI102" s="7"/>
      <c r="LYJ102" s="4"/>
      <c r="LYO102" s="7"/>
      <c r="LYP102" s="7"/>
      <c r="LYQ102" s="7"/>
      <c r="LYR102" s="4"/>
      <c r="LYW102" s="7"/>
      <c r="LYX102" s="7"/>
      <c r="LYY102" s="7"/>
      <c r="LYZ102" s="4"/>
      <c r="LZE102" s="7"/>
      <c r="LZF102" s="7"/>
      <c r="LZG102" s="7"/>
      <c r="LZH102" s="4"/>
      <c r="LZM102" s="7"/>
      <c r="LZN102" s="7"/>
      <c r="LZO102" s="7"/>
      <c r="LZP102" s="4"/>
      <c r="LZU102" s="7"/>
      <c r="LZV102" s="7"/>
      <c r="LZW102" s="7"/>
      <c r="LZX102" s="4"/>
      <c r="MAC102" s="7"/>
      <c r="MAD102" s="7"/>
      <c r="MAE102" s="7"/>
      <c r="MAF102" s="4"/>
      <c r="MAK102" s="7"/>
      <c r="MAL102" s="7"/>
      <c r="MAM102" s="7"/>
      <c r="MAN102" s="4"/>
      <c r="MAS102" s="7"/>
      <c r="MAT102" s="7"/>
      <c r="MAU102" s="7"/>
      <c r="MAV102" s="4"/>
      <c r="MBA102" s="7"/>
      <c r="MBB102" s="7"/>
      <c r="MBC102" s="7"/>
      <c r="MBD102" s="4"/>
      <c r="MBI102" s="7"/>
      <c r="MBJ102" s="7"/>
      <c r="MBK102" s="7"/>
      <c r="MBL102" s="4"/>
      <c r="MBQ102" s="7"/>
      <c r="MBR102" s="7"/>
      <c r="MBS102" s="7"/>
      <c r="MBT102" s="4"/>
      <c r="MBY102" s="7"/>
      <c r="MBZ102" s="7"/>
      <c r="MCA102" s="7"/>
      <c r="MCB102" s="4"/>
      <c r="MCG102" s="7"/>
      <c r="MCH102" s="7"/>
      <c r="MCI102" s="7"/>
      <c r="MCJ102" s="4"/>
      <c r="MCO102" s="7"/>
      <c r="MCP102" s="7"/>
      <c r="MCQ102" s="7"/>
      <c r="MCR102" s="4"/>
      <c r="MCW102" s="7"/>
      <c r="MCX102" s="7"/>
      <c r="MCY102" s="7"/>
      <c r="MCZ102" s="4"/>
      <c r="MDE102" s="7"/>
      <c r="MDF102" s="7"/>
      <c r="MDG102" s="7"/>
      <c r="MDH102" s="4"/>
      <c r="MDM102" s="7"/>
      <c r="MDN102" s="7"/>
      <c r="MDO102" s="7"/>
      <c r="MDP102" s="4"/>
      <c r="MDU102" s="7"/>
      <c r="MDV102" s="7"/>
      <c r="MDW102" s="7"/>
      <c r="MDX102" s="4"/>
      <c r="MEC102" s="7"/>
      <c r="MED102" s="7"/>
      <c r="MEE102" s="7"/>
      <c r="MEF102" s="4"/>
      <c r="MEK102" s="7"/>
      <c r="MEL102" s="7"/>
      <c r="MEM102" s="7"/>
      <c r="MEN102" s="4"/>
      <c r="MES102" s="7"/>
      <c r="MET102" s="7"/>
      <c r="MEU102" s="7"/>
      <c r="MEV102" s="4"/>
      <c r="MFA102" s="7"/>
      <c r="MFB102" s="7"/>
      <c r="MFC102" s="7"/>
      <c r="MFD102" s="4"/>
      <c r="MFI102" s="7"/>
      <c r="MFJ102" s="7"/>
      <c r="MFK102" s="7"/>
      <c r="MFL102" s="4"/>
      <c r="MFQ102" s="7"/>
      <c r="MFR102" s="7"/>
      <c r="MFS102" s="7"/>
      <c r="MFT102" s="4"/>
      <c r="MFY102" s="7"/>
      <c r="MFZ102" s="7"/>
      <c r="MGA102" s="7"/>
      <c r="MGB102" s="4"/>
      <c r="MGG102" s="7"/>
      <c r="MGH102" s="7"/>
      <c r="MGI102" s="7"/>
      <c r="MGJ102" s="4"/>
      <c r="MGO102" s="7"/>
      <c r="MGP102" s="7"/>
      <c r="MGQ102" s="7"/>
      <c r="MGR102" s="4"/>
      <c r="MGW102" s="7"/>
      <c r="MGX102" s="7"/>
      <c r="MGY102" s="7"/>
      <c r="MGZ102" s="4"/>
      <c r="MHE102" s="7"/>
      <c r="MHF102" s="7"/>
      <c r="MHG102" s="7"/>
      <c r="MHH102" s="4"/>
      <c r="MHM102" s="7"/>
      <c r="MHN102" s="7"/>
      <c r="MHO102" s="7"/>
      <c r="MHP102" s="4"/>
      <c r="MHU102" s="7"/>
      <c r="MHV102" s="7"/>
      <c r="MHW102" s="7"/>
      <c r="MHX102" s="4"/>
      <c r="MIC102" s="7"/>
      <c r="MID102" s="7"/>
      <c r="MIE102" s="7"/>
      <c r="MIF102" s="4"/>
      <c r="MIK102" s="7"/>
      <c r="MIL102" s="7"/>
      <c r="MIM102" s="7"/>
      <c r="MIN102" s="4"/>
      <c r="MIS102" s="7"/>
      <c r="MIT102" s="7"/>
      <c r="MIU102" s="7"/>
      <c r="MIV102" s="4"/>
      <c r="MJA102" s="7"/>
      <c r="MJB102" s="7"/>
      <c r="MJC102" s="7"/>
      <c r="MJD102" s="4"/>
      <c r="MJI102" s="7"/>
      <c r="MJJ102" s="7"/>
      <c r="MJK102" s="7"/>
      <c r="MJL102" s="4"/>
      <c r="MJQ102" s="7"/>
      <c r="MJR102" s="7"/>
      <c r="MJS102" s="7"/>
      <c r="MJT102" s="4"/>
      <c r="MJY102" s="7"/>
      <c r="MJZ102" s="7"/>
      <c r="MKA102" s="7"/>
      <c r="MKB102" s="4"/>
      <c r="MKG102" s="7"/>
      <c r="MKH102" s="7"/>
      <c r="MKI102" s="7"/>
      <c r="MKJ102" s="4"/>
      <c r="MKO102" s="7"/>
      <c r="MKP102" s="7"/>
      <c r="MKQ102" s="7"/>
      <c r="MKR102" s="4"/>
      <c r="MKW102" s="7"/>
      <c r="MKX102" s="7"/>
      <c r="MKY102" s="7"/>
      <c r="MKZ102" s="4"/>
      <c r="MLE102" s="7"/>
      <c r="MLF102" s="7"/>
      <c r="MLG102" s="7"/>
      <c r="MLH102" s="4"/>
      <c r="MLM102" s="7"/>
      <c r="MLN102" s="7"/>
      <c r="MLO102" s="7"/>
      <c r="MLP102" s="4"/>
      <c r="MLU102" s="7"/>
      <c r="MLV102" s="7"/>
      <c r="MLW102" s="7"/>
      <c r="MLX102" s="4"/>
      <c r="MMC102" s="7"/>
      <c r="MMD102" s="7"/>
      <c r="MME102" s="7"/>
      <c r="MMF102" s="4"/>
      <c r="MMK102" s="7"/>
      <c r="MML102" s="7"/>
      <c r="MMM102" s="7"/>
      <c r="MMN102" s="4"/>
      <c r="MMS102" s="7"/>
      <c r="MMT102" s="7"/>
      <c r="MMU102" s="7"/>
      <c r="MMV102" s="4"/>
      <c r="MNA102" s="7"/>
      <c r="MNB102" s="7"/>
      <c r="MNC102" s="7"/>
      <c r="MND102" s="4"/>
      <c r="MNI102" s="7"/>
      <c r="MNJ102" s="7"/>
      <c r="MNK102" s="7"/>
      <c r="MNL102" s="4"/>
      <c r="MNQ102" s="7"/>
      <c r="MNR102" s="7"/>
      <c r="MNS102" s="7"/>
      <c r="MNT102" s="4"/>
      <c r="MNY102" s="7"/>
      <c r="MNZ102" s="7"/>
      <c r="MOA102" s="7"/>
      <c r="MOB102" s="4"/>
      <c r="MOG102" s="7"/>
      <c r="MOH102" s="7"/>
      <c r="MOI102" s="7"/>
      <c r="MOJ102" s="4"/>
      <c r="MOO102" s="7"/>
      <c r="MOP102" s="7"/>
      <c r="MOQ102" s="7"/>
      <c r="MOR102" s="4"/>
      <c r="MOW102" s="7"/>
      <c r="MOX102" s="7"/>
      <c r="MOY102" s="7"/>
      <c r="MOZ102" s="4"/>
      <c r="MPE102" s="7"/>
      <c r="MPF102" s="7"/>
      <c r="MPG102" s="7"/>
      <c r="MPH102" s="4"/>
      <c r="MPM102" s="7"/>
      <c r="MPN102" s="7"/>
      <c r="MPO102" s="7"/>
      <c r="MPP102" s="4"/>
      <c r="MPU102" s="7"/>
      <c r="MPV102" s="7"/>
      <c r="MPW102" s="7"/>
      <c r="MPX102" s="4"/>
      <c r="MQC102" s="7"/>
      <c r="MQD102" s="7"/>
      <c r="MQE102" s="7"/>
      <c r="MQF102" s="4"/>
      <c r="MQK102" s="7"/>
      <c r="MQL102" s="7"/>
      <c r="MQM102" s="7"/>
      <c r="MQN102" s="4"/>
      <c r="MQS102" s="7"/>
      <c r="MQT102" s="7"/>
      <c r="MQU102" s="7"/>
      <c r="MQV102" s="4"/>
      <c r="MRA102" s="7"/>
      <c r="MRB102" s="7"/>
      <c r="MRC102" s="7"/>
      <c r="MRD102" s="4"/>
      <c r="MRI102" s="7"/>
      <c r="MRJ102" s="7"/>
      <c r="MRK102" s="7"/>
      <c r="MRL102" s="4"/>
      <c r="MRQ102" s="7"/>
      <c r="MRR102" s="7"/>
      <c r="MRS102" s="7"/>
      <c r="MRT102" s="4"/>
      <c r="MRY102" s="7"/>
      <c r="MRZ102" s="7"/>
      <c r="MSA102" s="7"/>
      <c r="MSB102" s="4"/>
      <c r="MSG102" s="7"/>
      <c r="MSH102" s="7"/>
      <c r="MSI102" s="7"/>
      <c r="MSJ102" s="4"/>
      <c r="MSO102" s="7"/>
      <c r="MSP102" s="7"/>
      <c r="MSQ102" s="7"/>
      <c r="MSR102" s="4"/>
      <c r="MSW102" s="7"/>
      <c r="MSX102" s="7"/>
      <c r="MSY102" s="7"/>
      <c r="MSZ102" s="4"/>
      <c r="MTE102" s="7"/>
      <c r="MTF102" s="7"/>
      <c r="MTG102" s="7"/>
      <c r="MTH102" s="4"/>
      <c r="MTM102" s="7"/>
      <c r="MTN102" s="7"/>
      <c r="MTO102" s="7"/>
      <c r="MTP102" s="4"/>
      <c r="MTU102" s="7"/>
      <c r="MTV102" s="7"/>
      <c r="MTW102" s="7"/>
      <c r="MTX102" s="4"/>
      <c r="MUC102" s="7"/>
      <c r="MUD102" s="7"/>
      <c r="MUE102" s="7"/>
      <c r="MUF102" s="4"/>
      <c r="MUK102" s="7"/>
      <c r="MUL102" s="7"/>
      <c r="MUM102" s="7"/>
      <c r="MUN102" s="4"/>
      <c r="MUS102" s="7"/>
      <c r="MUT102" s="7"/>
      <c r="MUU102" s="7"/>
      <c r="MUV102" s="4"/>
      <c r="MVA102" s="7"/>
      <c r="MVB102" s="7"/>
      <c r="MVC102" s="7"/>
      <c r="MVD102" s="4"/>
      <c r="MVI102" s="7"/>
      <c r="MVJ102" s="7"/>
      <c r="MVK102" s="7"/>
      <c r="MVL102" s="4"/>
      <c r="MVQ102" s="7"/>
      <c r="MVR102" s="7"/>
      <c r="MVS102" s="7"/>
      <c r="MVT102" s="4"/>
      <c r="MVY102" s="7"/>
      <c r="MVZ102" s="7"/>
      <c r="MWA102" s="7"/>
      <c r="MWB102" s="4"/>
      <c r="MWG102" s="7"/>
      <c r="MWH102" s="7"/>
      <c r="MWI102" s="7"/>
      <c r="MWJ102" s="4"/>
      <c r="MWO102" s="7"/>
      <c r="MWP102" s="7"/>
      <c r="MWQ102" s="7"/>
      <c r="MWR102" s="4"/>
      <c r="MWW102" s="7"/>
      <c r="MWX102" s="7"/>
      <c r="MWY102" s="7"/>
      <c r="MWZ102" s="4"/>
      <c r="MXE102" s="7"/>
      <c r="MXF102" s="7"/>
      <c r="MXG102" s="7"/>
      <c r="MXH102" s="4"/>
      <c r="MXM102" s="7"/>
      <c r="MXN102" s="7"/>
      <c r="MXO102" s="7"/>
      <c r="MXP102" s="4"/>
      <c r="MXU102" s="7"/>
      <c r="MXV102" s="7"/>
      <c r="MXW102" s="7"/>
      <c r="MXX102" s="4"/>
      <c r="MYC102" s="7"/>
      <c r="MYD102" s="7"/>
      <c r="MYE102" s="7"/>
      <c r="MYF102" s="4"/>
      <c r="MYK102" s="7"/>
      <c r="MYL102" s="7"/>
      <c r="MYM102" s="7"/>
      <c r="MYN102" s="4"/>
      <c r="MYS102" s="7"/>
      <c r="MYT102" s="7"/>
      <c r="MYU102" s="7"/>
      <c r="MYV102" s="4"/>
      <c r="MZA102" s="7"/>
      <c r="MZB102" s="7"/>
      <c r="MZC102" s="7"/>
      <c r="MZD102" s="4"/>
      <c r="MZI102" s="7"/>
      <c r="MZJ102" s="7"/>
      <c r="MZK102" s="7"/>
      <c r="MZL102" s="4"/>
      <c r="MZQ102" s="7"/>
      <c r="MZR102" s="7"/>
      <c r="MZS102" s="7"/>
      <c r="MZT102" s="4"/>
      <c r="MZY102" s="7"/>
      <c r="MZZ102" s="7"/>
      <c r="NAA102" s="7"/>
      <c r="NAB102" s="4"/>
      <c r="NAG102" s="7"/>
      <c r="NAH102" s="7"/>
      <c r="NAI102" s="7"/>
      <c r="NAJ102" s="4"/>
      <c r="NAO102" s="7"/>
      <c r="NAP102" s="7"/>
      <c r="NAQ102" s="7"/>
      <c r="NAR102" s="4"/>
      <c r="NAW102" s="7"/>
      <c r="NAX102" s="7"/>
      <c r="NAY102" s="7"/>
      <c r="NAZ102" s="4"/>
      <c r="NBE102" s="7"/>
      <c r="NBF102" s="7"/>
      <c r="NBG102" s="7"/>
      <c r="NBH102" s="4"/>
      <c r="NBM102" s="7"/>
      <c r="NBN102" s="7"/>
      <c r="NBO102" s="7"/>
      <c r="NBP102" s="4"/>
      <c r="NBU102" s="7"/>
      <c r="NBV102" s="7"/>
      <c r="NBW102" s="7"/>
      <c r="NBX102" s="4"/>
      <c r="NCC102" s="7"/>
      <c r="NCD102" s="7"/>
      <c r="NCE102" s="7"/>
      <c r="NCF102" s="4"/>
      <c r="NCK102" s="7"/>
      <c r="NCL102" s="7"/>
      <c r="NCM102" s="7"/>
      <c r="NCN102" s="4"/>
      <c r="NCS102" s="7"/>
      <c r="NCT102" s="7"/>
      <c r="NCU102" s="7"/>
      <c r="NCV102" s="4"/>
      <c r="NDA102" s="7"/>
      <c r="NDB102" s="7"/>
      <c r="NDC102" s="7"/>
      <c r="NDD102" s="4"/>
      <c r="NDI102" s="7"/>
      <c r="NDJ102" s="7"/>
      <c r="NDK102" s="7"/>
      <c r="NDL102" s="4"/>
      <c r="NDQ102" s="7"/>
      <c r="NDR102" s="7"/>
      <c r="NDS102" s="7"/>
      <c r="NDT102" s="4"/>
      <c r="NDY102" s="7"/>
      <c r="NDZ102" s="7"/>
      <c r="NEA102" s="7"/>
      <c r="NEB102" s="4"/>
      <c r="NEG102" s="7"/>
      <c r="NEH102" s="7"/>
      <c r="NEI102" s="7"/>
      <c r="NEJ102" s="4"/>
      <c r="NEO102" s="7"/>
      <c r="NEP102" s="7"/>
      <c r="NEQ102" s="7"/>
      <c r="NER102" s="4"/>
      <c r="NEW102" s="7"/>
      <c r="NEX102" s="7"/>
      <c r="NEY102" s="7"/>
      <c r="NEZ102" s="4"/>
      <c r="NFE102" s="7"/>
      <c r="NFF102" s="7"/>
      <c r="NFG102" s="7"/>
      <c r="NFH102" s="4"/>
      <c r="NFM102" s="7"/>
      <c r="NFN102" s="7"/>
      <c r="NFO102" s="7"/>
      <c r="NFP102" s="4"/>
      <c r="NFU102" s="7"/>
      <c r="NFV102" s="7"/>
      <c r="NFW102" s="7"/>
      <c r="NFX102" s="4"/>
      <c r="NGC102" s="7"/>
      <c r="NGD102" s="7"/>
      <c r="NGE102" s="7"/>
      <c r="NGF102" s="4"/>
      <c r="NGK102" s="7"/>
      <c r="NGL102" s="7"/>
      <c r="NGM102" s="7"/>
      <c r="NGN102" s="4"/>
      <c r="NGS102" s="7"/>
      <c r="NGT102" s="7"/>
      <c r="NGU102" s="7"/>
      <c r="NGV102" s="4"/>
      <c r="NHA102" s="7"/>
      <c r="NHB102" s="7"/>
      <c r="NHC102" s="7"/>
      <c r="NHD102" s="4"/>
      <c r="NHI102" s="7"/>
      <c r="NHJ102" s="7"/>
      <c r="NHK102" s="7"/>
      <c r="NHL102" s="4"/>
      <c r="NHQ102" s="7"/>
      <c r="NHR102" s="7"/>
      <c r="NHS102" s="7"/>
      <c r="NHT102" s="4"/>
      <c r="NHY102" s="7"/>
      <c r="NHZ102" s="7"/>
      <c r="NIA102" s="7"/>
      <c r="NIB102" s="4"/>
      <c r="NIG102" s="7"/>
      <c r="NIH102" s="7"/>
      <c r="NII102" s="7"/>
      <c r="NIJ102" s="4"/>
      <c r="NIO102" s="7"/>
      <c r="NIP102" s="7"/>
      <c r="NIQ102" s="7"/>
      <c r="NIR102" s="4"/>
      <c r="NIW102" s="7"/>
      <c r="NIX102" s="7"/>
      <c r="NIY102" s="7"/>
      <c r="NIZ102" s="4"/>
      <c r="NJE102" s="7"/>
      <c r="NJF102" s="7"/>
      <c r="NJG102" s="7"/>
      <c r="NJH102" s="4"/>
      <c r="NJM102" s="7"/>
      <c r="NJN102" s="7"/>
      <c r="NJO102" s="7"/>
      <c r="NJP102" s="4"/>
      <c r="NJU102" s="7"/>
      <c r="NJV102" s="7"/>
      <c r="NJW102" s="7"/>
      <c r="NJX102" s="4"/>
      <c r="NKC102" s="7"/>
      <c r="NKD102" s="7"/>
      <c r="NKE102" s="7"/>
      <c r="NKF102" s="4"/>
      <c r="NKK102" s="7"/>
      <c r="NKL102" s="7"/>
      <c r="NKM102" s="7"/>
      <c r="NKN102" s="4"/>
      <c r="NKS102" s="7"/>
      <c r="NKT102" s="7"/>
      <c r="NKU102" s="7"/>
      <c r="NKV102" s="4"/>
      <c r="NLA102" s="7"/>
      <c r="NLB102" s="7"/>
      <c r="NLC102" s="7"/>
      <c r="NLD102" s="4"/>
      <c r="NLI102" s="7"/>
      <c r="NLJ102" s="7"/>
      <c r="NLK102" s="7"/>
      <c r="NLL102" s="4"/>
      <c r="NLQ102" s="7"/>
      <c r="NLR102" s="7"/>
      <c r="NLS102" s="7"/>
      <c r="NLT102" s="4"/>
      <c r="NLY102" s="7"/>
      <c r="NLZ102" s="7"/>
      <c r="NMA102" s="7"/>
      <c r="NMB102" s="4"/>
      <c r="NMG102" s="7"/>
      <c r="NMH102" s="7"/>
      <c r="NMI102" s="7"/>
      <c r="NMJ102" s="4"/>
      <c r="NMO102" s="7"/>
      <c r="NMP102" s="7"/>
      <c r="NMQ102" s="7"/>
      <c r="NMR102" s="4"/>
      <c r="NMW102" s="7"/>
      <c r="NMX102" s="7"/>
      <c r="NMY102" s="7"/>
      <c r="NMZ102" s="4"/>
      <c r="NNE102" s="7"/>
      <c r="NNF102" s="7"/>
      <c r="NNG102" s="7"/>
      <c r="NNH102" s="4"/>
      <c r="NNM102" s="7"/>
      <c r="NNN102" s="7"/>
      <c r="NNO102" s="7"/>
      <c r="NNP102" s="4"/>
      <c r="NNU102" s="7"/>
      <c r="NNV102" s="7"/>
      <c r="NNW102" s="7"/>
      <c r="NNX102" s="4"/>
      <c r="NOC102" s="7"/>
      <c r="NOD102" s="7"/>
      <c r="NOE102" s="7"/>
      <c r="NOF102" s="4"/>
      <c r="NOK102" s="7"/>
      <c r="NOL102" s="7"/>
      <c r="NOM102" s="7"/>
      <c r="NON102" s="4"/>
      <c r="NOS102" s="7"/>
      <c r="NOT102" s="7"/>
      <c r="NOU102" s="7"/>
      <c r="NOV102" s="4"/>
      <c r="NPA102" s="7"/>
      <c r="NPB102" s="7"/>
      <c r="NPC102" s="7"/>
      <c r="NPD102" s="4"/>
      <c r="NPI102" s="7"/>
      <c r="NPJ102" s="7"/>
      <c r="NPK102" s="7"/>
      <c r="NPL102" s="4"/>
      <c r="NPQ102" s="7"/>
      <c r="NPR102" s="7"/>
      <c r="NPS102" s="7"/>
      <c r="NPT102" s="4"/>
      <c r="NPY102" s="7"/>
      <c r="NPZ102" s="7"/>
      <c r="NQA102" s="7"/>
      <c r="NQB102" s="4"/>
      <c r="NQG102" s="7"/>
      <c r="NQH102" s="7"/>
      <c r="NQI102" s="7"/>
      <c r="NQJ102" s="4"/>
      <c r="NQO102" s="7"/>
      <c r="NQP102" s="7"/>
      <c r="NQQ102" s="7"/>
      <c r="NQR102" s="4"/>
      <c r="NQW102" s="7"/>
      <c r="NQX102" s="7"/>
      <c r="NQY102" s="7"/>
      <c r="NQZ102" s="4"/>
      <c r="NRE102" s="7"/>
      <c r="NRF102" s="7"/>
      <c r="NRG102" s="7"/>
      <c r="NRH102" s="4"/>
      <c r="NRM102" s="7"/>
      <c r="NRN102" s="7"/>
      <c r="NRO102" s="7"/>
      <c r="NRP102" s="4"/>
      <c r="NRU102" s="7"/>
      <c r="NRV102" s="7"/>
      <c r="NRW102" s="7"/>
      <c r="NRX102" s="4"/>
      <c r="NSC102" s="7"/>
      <c r="NSD102" s="7"/>
      <c r="NSE102" s="7"/>
      <c r="NSF102" s="4"/>
      <c r="NSK102" s="7"/>
      <c r="NSL102" s="7"/>
      <c r="NSM102" s="7"/>
      <c r="NSN102" s="4"/>
      <c r="NSS102" s="7"/>
      <c r="NST102" s="7"/>
      <c r="NSU102" s="7"/>
      <c r="NSV102" s="4"/>
      <c r="NTA102" s="7"/>
      <c r="NTB102" s="7"/>
      <c r="NTC102" s="7"/>
      <c r="NTD102" s="4"/>
      <c r="NTI102" s="7"/>
      <c r="NTJ102" s="7"/>
      <c r="NTK102" s="7"/>
      <c r="NTL102" s="4"/>
      <c r="NTQ102" s="7"/>
      <c r="NTR102" s="7"/>
      <c r="NTS102" s="7"/>
      <c r="NTT102" s="4"/>
      <c r="NTY102" s="7"/>
      <c r="NTZ102" s="7"/>
      <c r="NUA102" s="7"/>
      <c r="NUB102" s="4"/>
      <c r="NUG102" s="7"/>
      <c r="NUH102" s="7"/>
      <c r="NUI102" s="7"/>
      <c r="NUJ102" s="4"/>
      <c r="NUO102" s="7"/>
      <c r="NUP102" s="7"/>
      <c r="NUQ102" s="7"/>
      <c r="NUR102" s="4"/>
      <c r="NUW102" s="7"/>
      <c r="NUX102" s="7"/>
      <c r="NUY102" s="7"/>
      <c r="NUZ102" s="4"/>
      <c r="NVE102" s="7"/>
      <c r="NVF102" s="7"/>
      <c r="NVG102" s="7"/>
      <c r="NVH102" s="4"/>
      <c r="NVM102" s="7"/>
      <c r="NVN102" s="7"/>
      <c r="NVO102" s="7"/>
      <c r="NVP102" s="4"/>
      <c r="NVU102" s="7"/>
      <c r="NVV102" s="7"/>
      <c r="NVW102" s="7"/>
      <c r="NVX102" s="4"/>
      <c r="NWC102" s="7"/>
      <c r="NWD102" s="7"/>
      <c r="NWE102" s="7"/>
      <c r="NWF102" s="4"/>
      <c r="NWK102" s="7"/>
      <c r="NWL102" s="7"/>
      <c r="NWM102" s="7"/>
      <c r="NWN102" s="4"/>
      <c r="NWS102" s="7"/>
      <c r="NWT102" s="7"/>
      <c r="NWU102" s="7"/>
      <c r="NWV102" s="4"/>
      <c r="NXA102" s="7"/>
      <c r="NXB102" s="7"/>
      <c r="NXC102" s="7"/>
      <c r="NXD102" s="4"/>
      <c r="NXI102" s="7"/>
      <c r="NXJ102" s="7"/>
      <c r="NXK102" s="7"/>
      <c r="NXL102" s="4"/>
      <c r="NXQ102" s="7"/>
      <c r="NXR102" s="7"/>
      <c r="NXS102" s="7"/>
      <c r="NXT102" s="4"/>
      <c r="NXY102" s="7"/>
      <c r="NXZ102" s="7"/>
      <c r="NYA102" s="7"/>
      <c r="NYB102" s="4"/>
      <c r="NYG102" s="7"/>
      <c r="NYH102" s="7"/>
      <c r="NYI102" s="7"/>
      <c r="NYJ102" s="4"/>
      <c r="NYO102" s="7"/>
      <c r="NYP102" s="7"/>
      <c r="NYQ102" s="7"/>
      <c r="NYR102" s="4"/>
      <c r="NYW102" s="7"/>
      <c r="NYX102" s="7"/>
      <c r="NYY102" s="7"/>
      <c r="NYZ102" s="4"/>
      <c r="NZE102" s="7"/>
      <c r="NZF102" s="7"/>
      <c r="NZG102" s="7"/>
      <c r="NZH102" s="4"/>
      <c r="NZM102" s="7"/>
      <c r="NZN102" s="7"/>
      <c r="NZO102" s="7"/>
      <c r="NZP102" s="4"/>
      <c r="NZU102" s="7"/>
      <c r="NZV102" s="7"/>
      <c r="NZW102" s="7"/>
      <c r="NZX102" s="4"/>
      <c r="OAC102" s="7"/>
      <c r="OAD102" s="7"/>
      <c r="OAE102" s="7"/>
      <c r="OAF102" s="4"/>
      <c r="OAK102" s="7"/>
      <c r="OAL102" s="7"/>
      <c r="OAM102" s="7"/>
      <c r="OAN102" s="4"/>
      <c r="OAS102" s="7"/>
      <c r="OAT102" s="7"/>
      <c r="OAU102" s="7"/>
      <c r="OAV102" s="4"/>
      <c r="OBA102" s="7"/>
      <c r="OBB102" s="7"/>
      <c r="OBC102" s="7"/>
      <c r="OBD102" s="4"/>
      <c r="OBI102" s="7"/>
      <c r="OBJ102" s="7"/>
      <c r="OBK102" s="7"/>
      <c r="OBL102" s="4"/>
      <c r="OBQ102" s="7"/>
      <c r="OBR102" s="7"/>
      <c r="OBS102" s="7"/>
      <c r="OBT102" s="4"/>
      <c r="OBY102" s="7"/>
      <c r="OBZ102" s="7"/>
      <c r="OCA102" s="7"/>
      <c r="OCB102" s="4"/>
      <c r="OCG102" s="7"/>
      <c r="OCH102" s="7"/>
      <c r="OCI102" s="7"/>
      <c r="OCJ102" s="4"/>
      <c r="OCO102" s="7"/>
      <c r="OCP102" s="7"/>
      <c r="OCQ102" s="7"/>
      <c r="OCR102" s="4"/>
      <c r="OCW102" s="7"/>
      <c r="OCX102" s="7"/>
      <c r="OCY102" s="7"/>
      <c r="OCZ102" s="4"/>
      <c r="ODE102" s="7"/>
      <c r="ODF102" s="7"/>
      <c r="ODG102" s="7"/>
      <c r="ODH102" s="4"/>
      <c r="ODM102" s="7"/>
      <c r="ODN102" s="7"/>
      <c r="ODO102" s="7"/>
      <c r="ODP102" s="4"/>
      <c r="ODU102" s="7"/>
      <c r="ODV102" s="7"/>
      <c r="ODW102" s="7"/>
      <c r="ODX102" s="4"/>
      <c r="OEC102" s="7"/>
      <c r="OED102" s="7"/>
      <c r="OEE102" s="7"/>
      <c r="OEF102" s="4"/>
      <c r="OEK102" s="7"/>
      <c r="OEL102" s="7"/>
      <c r="OEM102" s="7"/>
      <c r="OEN102" s="4"/>
      <c r="OES102" s="7"/>
      <c r="OET102" s="7"/>
      <c r="OEU102" s="7"/>
      <c r="OEV102" s="4"/>
      <c r="OFA102" s="7"/>
      <c r="OFB102" s="7"/>
      <c r="OFC102" s="7"/>
      <c r="OFD102" s="4"/>
      <c r="OFI102" s="7"/>
      <c r="OFJ102" s="7"/>
      <c r="OFK102" s="7"/>
      <c r="OFL102" s="4"/>
      <c r="OFQ102" s="7"/>
      <c r="OFR102" s="7"/>
      <c r="OFS102" s="7"/>
      <c r="OFT102" s="4"/>
      <c r="OFY102" s="7"/>
      <c r="OFZ102" s="7"/>
      <c r="OGA102" s="7"/>
      <c r="OGB102" s="4"/>
      <c r="OGG102" s="7"/>
      <c r="OGH102" s="7"/>
      <c r="OGI102" s="7"/>
      <c r="OGJ102" s="4"/>
      <c r="OGO102" s="7"/>
      <c r="OGP102" s="7"/>
      <c r="OGQ102" s="7"/>
      <c r="OGR102" s="4"/>
      <c r="OGW102" s="7"/>
      <c r="OGX102" s="7"/>
      <c r="OGY102" s="7"/>
      <c r="OGZ102" s="4"/>
      <c r="OHE102" s="7"/>
      <c r="OHF102" s="7"/>
      <c r="OHG102" s="7"/>
      <c r="OHH102" s="4"/>
      <c r="OHM102" s="7"/>
      <c r="OHN102" s="7"/>
      <c r="OHO102" s="7"/>
      <c r="OHP102" s="4"/>
      <c r="OHU102" s="7"/>
      <c r="OHV102" s="7"/>
      <c r="OHW102" s="7"/>
      <c r="OHX102" s="4"/>
      <c r="OIC102" s="7"/>
      <c r="OID102" s="7"/>
      <c r="OIE102" s="7"/>
      <c r="OIF102" s="4"/>
      <c r="OIK102" s="7"/>
      <c r="OIL102" s="7"/>
      <c r="OIM102" s="7"/>
      <c r="OIN102" s="4"/>
      <c r="OIS102" s="7"/>
      <c r="OIT102" s="7"/>
      <c r="OIU102" s="7"/>
      <c r="OIV102" s="4"/>
      <c r="OJA102" s="7"/>
      <c r="OJB102" s="7"/>
      <c r="OJC102" s="7"/>
      <c r="OJD102" s="4"/>
      <c r="OJI102" s="7"/>
      <c r="OJJ102" s="7"/>
      <c r="OJK102" s="7"/>
      <c r="OJL102" s="4"/>
      <c r="OJQ102" s="7"/>
      <c r="OJR102" s="7"/>
      <c r="OJS102" s="7"/>
      <c r="OJT102" s="4"/>
      <c r="OJY102" s="7"/>
      <c r="OJZ102" s="7"/>
      <c r="OKA102" s="7"/>
      <c r="OKB102" s="4"/>
      <c r="OKG102" s="7"/>
      <c r="OKH102" s="7"/>
      <c r="OKI102" s="7"/>
      <c r="OKJ102" s="4"/>
      <c r="OKO102" s="7"/>
      <c r="OKP102" s="7"/>
      <c r="OKQ102" s="7"/>
      <c r="OKR102" s="4"/>
      <c r="OKW102" s="7"/>
      <c r="OKX102" s="7"/>
      <c r="OKY102" s="7"/>
      <c r="OKZ102" s="4"/>
      <c r="OLE102" s="7"/>
      <c r="OLF102" s="7"/>
      <c r="OLG102" s="7"/>
      <c r="OLH102" s="4"/>
      <c r="OLM102" s="7"/>
      <c r="OLN102" s="7"/>
      <c r="OLO102" s="7"/>
      <c r="OLP102" s="4"/>
      <c r="OLU102" s="7"/>
      <c r="OLV102" s="7"/>
      <c r="OLW102" s="7"/>
      <c r="OLX102" s="4"/>
      <c r="OMC102" s="7"/>
      <c r="OMD102" s="7"/>
      <c r="OME102" s="7"/>
      <c r="OMF102" s="4"/>
      <c r="OMK102" s="7"/>
      <c r="OML102" s="7"/>
      <c r="OMM102" s="7"/>
      <c r="OMN102" s="4"/>
      <c r="OMS102" s="7"/>
      <c r="OMT102" s="7"/>
      <c r="OMU102" s="7"/>
      <c r="OMV102" s="4"/>
      <c r="ONA102" s="7"/>
      <c r="ONB102" s="7"/>
      <c r="ONC102" s="7"/>
      <c r="OND102" s="4"/>
      <c r="ONI102" s="7"/>
      <c r="ONJ102" s="7"/>
      <c r="ONK102" s="7"/>
      <c r="ONL102" s="4"/>
      <c r="ONQ102" s="7"/>
      <c r="ONR102" s="7"/>
      <c r="ONS102" s="7"/>
      <c r="ONT102" s="4"/>
      <c r="ONY102" s="7"/>
      <c r="ONZ102" s="7"/>
      <c r="OOA102" s="7"/>
      <c r="OOB102" s="4"/>
      <c r="OOG102" s="7"/>
      <c r="OOH102" s="7"/>
      <c r="OOI102" s="7"/>
      <c r="OOJ102" s="4"/>
      <c r="OOO102" s="7"/>
      <c r="OOP102" s="7"/>
      <c r="OOQ102" s="7"/>
      <c r="OOR102" s="4"/>
      <c r="OOW102" s="7"/>
      <c r="OOX102" s="7"/>
      <c r="OOY102" s="7"/>
      <c r="OOZ102" s="4"/>
      <c r="OPE102" s="7"/>
      <c r="OPF102" s="7"/>
      <c r="OPG102" s="7"/>
      <c r="OPH102" s="4"/>
      <c r="OPM102" s="7"/>
      <c r="OPN102" s="7"/>
      <c r="OPO102" s="7"/>
      <c r="OPP102" s="4"/>
      <c r="OPU102" s="7"/>
      <c r="OPV102" s="7"/>
      <c r="OPW102" s="7"/>
      <c r="OPX102" s="4"/>
      <c r="OQC102" s="7"/>
      <c r="OQD102" s="7"/>
      <c r="OQE102" s="7"/>
      <c r="OQF102" s="4"/>
      <c r="OQK102" s="7"/>
      <c r="OQL102" s="7"/>
      <c r="OQM102" s="7"/>
      <c r="OQN102" s="4"/>
      <c r="OQS102" s="7"/>
      <c r="OQT102" s="7"/>
      <c r="OQU102" s="7"/>
      <c r="OQV102" s="4"/>
      <c r="ORA102" s="7"/>
      <c r="ORB102" s="7"/>
      <c r="ORC102" s="7"/>
      <c r="ORD102" s="4"/>
      <c r="ORI102" s="7"/>
      <c r="ORJ102" s="7"/>
      <c r="ORK102" s="7"/>
      <c r="ORL102" s="4"/>
      <c r="ORQ102" s="7"/>
      <c r="ORR102" s="7"/>
      <c r="ORS102" s="7"/>
      <c r="ORT102" s="4"/>
      <c r="ORY102" s="7"/>
      <c r="ORZ102" s="7"/>
      <c r="OSA102" s="7"/>
      <c r="OSB102" s="4"/>
      <c r="OSG102" s="7"/>
      <c r="OSH102" s="7"/>
      <c r="OSI102" s="7"/>
      <c r="OSJ102" s="4"/>
      <c r="OSO102" s="7"/>
      <c r="OSP102" s="7"/>
      <c r="OSQ102" s="7"/>
      <c r="OSR102" s="4"/>
      <c r="OSW102" s="7"/>
      <c r="OSX102" s="7"/>
      <c r="OSY102" s="7"/>
      <c r="OSZ102" s="4"/>
      <c r="OTE102" s="7"/>
      <c r="OTF102" s="7"/>
      <c r="OTG102" s="7"/>
      <c r="OTH102" s="4"/>
      <c r="OTM102" s="7"/>
      <c r="OTN102" s="7"/>
      <c r="OTO102" s="7"/>
      <c r="OTP102" s="4"/>
      <c r="OTU102" s="7"/>
      <c r="OTV102" s="7"/>
      <c r="OTW102" s="7"/>
      <c r="OTX102" s="4"/>
      <c r="OUC102" s="7"/>
      <c r="OUD102" s="7"/>
      <c r="OUE102" s="7"/>
      <c r="OUF102" s="4"/>
      <c r="OUK102" s="7"/>
      <c r="OUL102" s="7"/>
      <c r="OUM102" s="7"/>
      <c r="OUN102" s="4"/>
      <c r="OUS102" s="7"/>
      <c r="OUT102" s="7"/>
      <c r="OUU102" s="7"/>
      <c r="OUV102" s="4"/>
      <c r="OVA102" s="7"/>
      <c r="OVB102" s="7"/>
      <c r="OVC102" s="7"/>
      <c r="OVD102" s="4"/>
      <c r="OVI102" s="7"/>
      <c r="OVJ102" s="7"/>
      <c r="OVK102" s="7"/>
      <c r="OVL102" s="4"/>
      <c r="OVQ102" s="7"/>
      <c r="OVR102" s="7"/>
      <c r="OVS102" s="7"/>
      <c r="OVT102" s="4"/>
      <c r="OVY102" s="7"/>
      <c r="OVZ102" s="7"/>
      <c r="OWA102" s="7"/>
      <c r="OWB102" s="4"/>
      <c r="OWG102" s="7"/>
      <c r="OWH102" s="7"/>
      <c r="OWI102" s="7"/>
      <c r="OWJ102" s="4"/>
      <c r="OWO102" s="7"/>
      <c r="OWP102" s="7"/>
      <c r="OWQ102" s="7"/>
      <c r="OWR102" s="4"/>
      <c r="OWW102" s="7"/>
      <c r="OWX102" s="7"/>
      <c r="OWY102" s="7"/>
      <c r="OWZ102" s="4"/>
      <c r="OXE102" s="7"/>
      <c r="OXF102" s="7"/>
      <c r="OXG102" s="7"/>
      <c r="OXH102" s="4"/>
      <c r="OXM102" s="7"/>
      <c r="OXN102" s="7"/>
      <c r="OXO102" s="7"/>
      <c r="OXP102" s="4"/>
      <c r="OXU102" s="7"/>
      <c r="OXV102" s="7"/>
      <c r="OXW102" s="7"/>
      <c r="OXX102" s="4"/>
      <c r="OYC102" s="7"/>
      <c r="OYD102" s="7"/>
      <c r="OYE102" s="7"/>
      <c r="OYF102" s="4"/>
      <c r="OYK102" s="7"/>
      <c r="OYL102" s="7"/>
      <c r="OYM102" s="7"/>
      <c r="OYN102" s="4"/>
      <c r="OYS102" s="7"/>
      <c r="OYT102" s="7"/>
      <c r="OYU102" s="7"/>
      <c r="OYV102" s="4"/>
      <c r="OZA102" s="7"/>
      <c r="OZB102" s="7"/>
      <c r="OZC102" s="7"/>
      <c r="OZD102" s="4"/>
      <c r="OZI102" s="7"/>
      <c r="OZJ102" s="7"/>
      <c r="OZK102" s="7"/>
      <c r="OZL102" s="4"/>
      <c r="OZQ102" s="7"/>
      <c r="OZR102" s="7"/>
      <c r="OZS102" s="7"/>
      <c r="OZT102" s="4"/>
      <c r="OZY102" s="7"/>
      <c r="OZZ102" s="7"/>
      <c r="PAA102" s="7"/>
      <c r="PAB102" s="4"/>
      <c r="PAG102" s="7"/>
      <c r="PAH102" s="7"/>
      <c r="PAI102" s="7"/>
      <c r="PAJ102" s="4"/>
      <c r="PAO102" s="7"/>
      <c r="PAP102" s="7"/>
      <c r="PAQ102" s="7"/>
      <c r="PAR102" s="4"/>
      <c r="PAW102" s="7"/>
      <c r="PAX102" s="7"/>
      <c r="PAY102" s="7"/>
      <c r="PAZ102" s="4"/>
      <c r="PBE102" s="7"/>
      <c r="PBF102" s="7"/>
      <c r="PBG102" s="7"/>
      <c r="PBH102" s="4"/>
      <c r="PBM102" s="7"/>
      <c r="PBN102" s="7"/>
      <c r="PBO102" s="7"/>
      <c r="PBP102" s="4"/>
      <c r="PBU102" s="7"/>
      <c r="PBV102" s="7"/>
      <c r="PBW102" s="7"/>
      <c r="PBX102" s="4"/>
      <c r="PCC102" s="7"/>
      <c r="PCD102" s="7"/>
      <c r="PCE102" s="7"/>
      <c r="PCF102" s="4"/>
      <c r="PCK102" s="7"/>
      <c r="PCL102" s="7"/>
      <c r="PCM102" s="7"/>
      <c r="PCN102" s="4"/>
      <c r="PCS102" s="7"/>
      <c r="PCT102" s="7"/>
      <c r="PCU102" s="7"/>
      <c r="PCV102" s="4"/>
      <c r="PDA102" s="7"/>
      <c r="PDB102" s="7"/>
      <c r="PDC102" s="7"/>
      <c r="PDD102" s="4"/>
      <c r="PDI102" s="7"/>
      <c r="PDJ102" s="7"/>
      <c r="PDK102" s="7"/>
      <c r="PDL102" s="4"/>
      <c r="PDQ102" s="7"/>
      <c r="PDR102" s="7"/>
      <c r="PDS102" s="7"/>
      <c r="PDT102" s="4"/>
      <c r="PDY102" s="7"/>
      <c r="PDZ102" s="7"/>
      <c r="PEA102" s="7"/>
      <c r="PEB102" s="4"/>
      <c r="PEG102" s="7"/>
      <c r="PEH102" s="7"/>
      <c r="PEI102" s="7"/>
      <c r="PEJ102" s="4"/>
      <c r="PEO102" s="7"/>
      <c r="PEP102" s="7"/>
      <c r="PEQ102" s="7"/>
      <c r="PER102" s="4"/>
      <c r="PEW102" s="7"/>
      <c r="PEX102" s="7"/>
      <c r="PEY102" s="7"/>
      <c r="PEZ102" s="4"/>
      <c r="PFE102" s="7"/>
      <c r="PFF102" s="7"/>
      <c r="PFG102" s="7"/>
      <c r="PFH102" s="4"/>
      <c r="PFM102" s="7"/>
      <c r="PFN102" s="7"/>
      <c r="PFO102" s="7"/>
      <c r="PFP102" s="4"/>
      <c r="PFU102" s="7"/>
      <c r="PFV102" s="7"/>
      <c r="PFW102" s="7"/>
      <c r="PFX102" s="4"/>
      <c r="PGC102" s="7"/>
      <c r="PGD102" s="7"/>
      <c r="PGE102" s="7"/>
      <c r="PGF102" s="4"/>
      <c r="PGK102" s="7"/>
      <c r="PGL102" s="7"/>
      <c r="PGM102" s="7"/>
      <c r="PGN102" s="4"/>
      <c r="PGS102" s="7"/>
      <c r="PGT102" s="7"/>
      <c r="PGU102" s="7"/>
      <c r="PGV102" s="4"/>
      <c r="PHA102" s="7"/>
      <c r="PHB102" s="7"/>
      <c r="PHC102" s="7"/>
      <c r="PHD102" s="4"/>
      <c r="PHI102" s="7"/>
      <c r="PHJ102" s="7"/>
      <c r="PHK102" s="7"/>
      <c r="PHL102" s="4"/>
      <c r="PHQ102" s="7"/>
      <c r="PHR102" s="7"/>
      <c r="PHS102" s="7"/>
      <c r="PHT102" s="4"/>
      <c r="PHY102" s="7"/>
      <c r="PHZ102" s="7"/>
      <c r="PIA102" s="7"/>
      <c r="PIB102" s="4"/>
      <c r="PIG102" s="7"/>
      <c r="PIH102" s="7"/>
      <c r="PII102" s="7"/>
      <c r="PIJ102" s="4"/>
      <c r="PIO102" s="7"/>
      <c r="PIP102" s="7"/>
      <c r="PIQ102" s="7"/>
      <c r="PIR102" s="4"/>
      <c r="PIW102" s="7"/>
      <c r="PIX102" s="7"/>
      <c r="PIY102" s="7"/>
      <c r="PIZ102" s="4"/>
      <c r="PJE102" s="7"/>
      <c r="PJF102" s="7"/>
      <c r="PJG102" s="7"/>
      <c r="PJH102" s="4"/>
      <c r="PJM102" s="7"/>
      <c r="PJN102" s="7"/>
      <c r="PJO102" s="7"/>
      <c r="PJP102" s="4"/>
      <c r="PJU102" s="7"/>
      <c r="PJV102" s="7"/>
      <c r="PJW102" s="7"/>
      <c r="PJX102" s="4"/>
      <c r="PKC102" s="7"/>
      <c r="PKD102" s="7"/>
      <c r="PKE102" s="7"/>
      <c r="PKF102" s="4"/>
      <c r="PKK102" s="7"/>
      <c r="PKL102" s="7"/>
      <c r="PKM102" s="7"/>
      <c r="PKN102" s="4"/>
      <c r="PKS102" s="7"/>
      <c r="PKT102" s="7"/>
      <c r="PKU102" s="7"/>
      <c r="PKV102" s="4"/>
      <c r="PLA102" s="7"/>
      <c r="PLB102" s="7"/>
      <c r="PLC102" s="7"/>
      <c r="PLD102" s="4"/>
      <c r="PLI102" s="7"/>
      <c r="PLJ102" s="7"/>
      <c r="PLK102" s="7"/>
      <c r="PLL102" s="4"/>
      <c r="PLQ102" s="7"/>
      <c r="PLR102" s="7"/>
      <c r="PLS102" s="7"/>
      <c r="PLT102" s="4"/>
      <c r="PLY102" s="7"/>
      <c r="PLZ102" s="7"/>
      <c r="PMA102" s="7"/>
      <c r="PMB102" s="4"/>
      <c r="PMG102" s="7"/>
      <c r="PMH102" s="7"/>
      <c r="PMI102" s="7"/>
      <c r="PMJ102" s="4"/>
      <c r="PMO102" s="7"/>
      <c r="PMP102" s="7"/>
      <c r="PMQ102" s="7"/>
      <c r="PMR102" s="4"/>
      <c r="PMW102" s="7"/>
      <c r="PMX102" s="7"/>
      <c r="PMY102" s="7"/>
      <c r="PMZ102" s="4"/>
      <c r="PNE102" s="7"/>
      <c r="PNF102" s="7"/>
      <c r="PNG102" s="7"/>
      <c r="PNH102" s="4"/>
      <c r="PNM102" s="7"/>
      <c r="PNN102" s="7"/>
      <c r="PNO102" s="7"/>
      <c r="PNP102" s="4"/>
      <c r="PNU102" s="7"/>
      <c r="PNV102" s="7"/>
      <c r="PNW102" s="7"/>
      <c r="PNX102" s="4"/>
      <c r="POC102" s="7"/>
      <c r="POD102" s="7"/>
      <c r="POE102" s="7"/>
      <c r="POF102" s="4"/>
      <c r="POK102" s="7"/>
      <c r="POL102" s="7"/>
      <c r="POM102" s="7"/>
      <c r="PON102" s="4"/>
      <c r="POS102" s="7"/>
      <c r="POT102" s="7"/>
      <c r="POU102" s="7"/>
      <c r="POV102" s="4"/>
      <c r="PPA102" s="7"/>
      <c r="PPB102" s="7"/>
      <c r="PPC102" s="7"/>
      <c r="PPD102" s="4"/>
      <c r="PPI102" s="7"/>
      <c r="PPJ102" s="7"/>
      <c r="PPK102" s="7"/>
      <c r="PPL102" s="4"/>
      <c r="PPQ102" s="7"/>
      <c r="PPR102" s="7"/>
      <c r="PPS102" s="7"/>
      <c r="PPT102" s="4"/>
      <c r="PPY102" s="7"/>
      <c r="PPZ102" s="7"/>
      <c r="PQA102" s="7"/>
      <c r="PQB102" s="4"/>
      <c r="PQG102" s="7"/>
      <c r="PQH102" s="7"/>
      <c r="PQI102" s="7"/>
      <c r="PQJ102" s="4"/>
      <c r="PQO102" s="7"/>
      <c r="PQP102" s="7"/>
      <c r="PQQ102" s="7"/>
      <c r="PQR102" s="4"/>
      <c r="PQW102" s="7"/>
      <c r="PQX102" s="7"/>
      <c r="PQY102" s="7"/>
      <c r="PQZ102" s="4"/>
      <c r="PRE102" s="7"/>
      <c r="PRF102" s="7"/>
      <c r="PRG102" s="7"/>
      <c r="PRH102" s="4"/>
      <c r="PRM102" s="7"/>
      <c r="PRN102" s="7"/>
      <c r="PRO102" s="7"/>
      <c r="PRP102" s="4"/>
      <c r="PRU102" s="7"/>
      <c r="PRV102" s="7"/>
      <c r="PRW102" s="7"/>
      <c r="PRX102" s="4"/>
      <c r="PSC102" s="7"/>
      <c r="PSD102" s="7"/>
      <c r="PSE102" s="7"/>
      <c r="PSF102" s="4"/>
      <c r="PSK102" s="7"/>
      <c r="PSL102" s="7"/>
      <c r="PSM102" s="7"/>
      <c r="PSN102" s="4"/>
      <c r="PSS102" s="7"/>
      <c r="PST102" s="7"/>
      <c r="PSU102" s="7"/>
      <c r="PSV102" s="4"/>
      <c r="PTA102" s="7"/>
      <c r="PTB102" s="7"/>
      <c r="PTC102" s="7"/>
      <c r="PTD102" s="4"/>
      <c r="PTI102" s="7"/>
      <c r="PTJ102" s="7"/>
      <c r="PTK102" s="7"/>
      <c r="PTL102" s="4"/>
      <c r="PTQ102" s="7"/>
      <c r="PTR102" s="7"/>
      <c r="PTS102" s="7"/>
      <c r="PTT102" s="4"/>
      <c r="PTY102" s="7"/>
      <c r="PTZ102" s="7"/>
      <c r="PUA102" s="7"/>
      <c r="PUB102" s="4"/>
      <c r="PUG102" s="7"/>
      <c r="PUH102" s="7"/>
      <c r="PUI102" s="7"/>
      <c r="PUJ102" s="4"/>
      <c r="PUO102" s="7"/>
      <c r="PUP102" s="7"/>
      <c r="PUQ102" s="7"/>
      <c r="PUR102" s="4"/>
      <c r="PUW102" s="7"/>
      <c r="PUX102" s="7"/>
      <c r="PUY102" s="7"/>
      <c r="PUZ102" s="4"/>
      <c r="PVE102" s="7"/>
      <c r="PVF102" s="7"/>
      <c r="PVG102" s="7"/>
      <c r="PVH102" s="4"/>
      <c r="PVM102" s="7"/>
      <c r="PVN102" s="7"/>
      <c r="PVO102" s="7"/>
      <c r="PVP102" s="4"/>
      <c r="PVU102" s="7"/>
      <c r="PVV102" s="7"/>
      <c r="PVW102" s="7"/>
      <c r="PVX102" s="4"/>
      <c r="PWC102" s="7"/>
      <c r="PWD102" s="7"/>
      <c r="PWE102" s="7"/>
      <c r="PWF102" s="4"/>
      <c r="PWK102" s="7"/>
      <c r="PWL102" s="7"/>
      <c r="PWM102" s="7"/>
      <c r="PWN102" s="4"/>
      <c r="PWS102" s="7"/>
      <c r="PWT102" s="7"/>
      <c r="PWU102" s="7"/>
      <c r="PWV102" s="4"/>
      <c r="PXA102" s="7"/>
      <c r="PXB102" s="7"/>
      <c r="PXC102" s="7"/>
      <c r="PXD102" s="4"/>
      <c r="PXI102" s="7"/>
      <c r="PXJ102" s="7"/>
      <c r="PXK102" s="7"/>
      <c r="PXL102" s="4"/>
      <c r="PXQ102" s="7"/>
      <c r="PXR102" s="7"/>
      <c r="PXS102" s="7"/>
      <c r="PXT102" s="4"/>
      <c r="PXY102" s="7"/>
      <c r="PXZ102" s="7"/>
      <c r="PYA102" s="7"/>
      <c r="PYB102" s="4"/>
      <c r="PYG102" s="7"/>
      <c r="PYH102" s="7"/>
      <c r="PYI102" s="7"/>
      <c r="PYJ102" s="4"/>
      <c r="PYO102" s="7"/>
      <c r="PYP102" s="7"/>
      <c r="PYQ102" s="7"/>
      <c r="PYR102" s="4"/>
      <c r="PYW102" s="7"/>
      <c r="PYX102" s="7"/>
      <c r="PYY102" s="7"/>
      <c r="PYZ102" s="4"/>
      <c r="PZE102" s="7"/>
      <c r="PZF102" s="7"/>
      <c r="PZG102" s="7"/>
      <c r="PZH102" s="4"/>
      <c r="PZM102" s="7"/>
      <c r="PZN102" s="7"/>
      <c r="PZO102" s="7"/>
      <c r="PZP102" s="4"/>
      <c r="PZU102" s="7"/>
      <c r="PZV102" s="7"/>
      <c r="PZW102" s="7"/>
      <c r="PZX102" s="4"/>
      <c r="QAC102" s="7"/>
      <c r="QAD102" s="7"/>
      <c r="QAE102" s="7"/>
      <c r="QAF102" s="4"/>
      <c r="QAK102" s="7"/>
      <c r="QAL102" s="7"/>
      <c r="QAM102" s="7"/>
      <c r="QAN102" s="4"/>
      <c r="QAS102" s="7"/>
      <c r="QAT102" s="7"/>
      <c r="QAU102" s="7"/>
      <c r="QAV102" s="4"/>
      <c r="QBA102" s="7"/>
      <c r="QBB102" s="7"/>
      <c r="QBC102" s="7"/>
      <c r="QBD102" s="4"/>
      <c r="QBI102" s="7"/>
      <c r="QBJ102" s="7"/>
      <c r="QBK102" s="7"/>
      <c r="QBL102" s="4"/>
      <c r="QBQ102" s="7"/>
      <c r="QBR102" s="7"/>
      <c r="QBS102" s="7"/>
      <c r="QBT102" s="4"/>
      <c r="QBY102" s="7"/>
      <c r="QBZ102" s="7"/>
      <c r="QCA102" s="7"/>
      <c r="QCB102" s="4"/>
      <c r="QCG102" s="7"/>
      <c r="QCH102" s="7"/>
      <c r="QCI102" s="7"/>
      <c r="QCJ102" s="4"/>
      <c r="QCO102" s="7"/>
      <c r="QCP102" s="7"/>
      <c r="QCQ102" s="7"/>
      <c r="QCR102" s="4"/>
      <c r="QCW102" s="7"/>
      <c r="QCX102" s="7"/>
      <c r="QCY102" s="7"/>
      <c r="QCZ102" s="4"/>
      <c r="QDE102" s="7"/>
      <c r="QDF102" s="7"/>
      <c r="QDG102" s="7"/>
      <c r="QDH102" s="4"/>
      <c r="QDM102" s="7"/>
      <c r="QDN102" s="7"/>
      <c r="QDO102" s="7"/>
      <c r="QDP102" s="4"/>
      <c r="QDU102" s="7"/>
      <c r="QDV102" s="7"/>
      <c r="QDW102" s="7"/>
      <c r="QDX102" s="4"/>
      <c r="QEC102" s="7"/>
      <c r="QED102" s="7"/>
      <c r="QEE102" s="7"/>
      <c r="QEF102" s="4"/>
      <c r="QEK102" s="7"/>
      <c r="QEL102" s="7"/>
      <c r="QEM102" s="7"/>
      <c r="QEN102" s="4"/>
      <c r="QES102" s="7"/>
      <c r="QET102" s="7"/>
      <c r="QEU102" s="7"/>
      <c r="QEV102" s="4"/>
      <c r="QFA102" s="7"/>
      <c r="QFB102" s="7"/>
      <c r="QFC102" s="7"/>
      <c r="QFD102" s="4"/>
      <c r="QFI102" s="7"/>
      <c r="QFJ102" s="7"/>
      <c r="QFK102" s="7"/>
      <c r="QFL102" s="4"/>
      <c r="QFQ102" s="7"/>
      <c r="QFR102" s="7"/>
      <c r="QFS102" s="7"/>
      <c r="QFT102" s="4"/>
      <c r="QFY102" s="7"/>
      <c r="QFZ102" s="7"/>
      <c r="QGA102" s="7"/>
      <c r="QGB102" s="4"/>
      <c r="QGG102" s="7"/>
      <c r="QGH102" s="7"/>
      <c r="QGI102" s="7"/>
      <c r="QGJ102" s="4"/>
      <c r="QGO102" s="7"/>
      <c r="QGP102" s="7"/>
      <c r="QGQ102" s="7"/>
      <c r="QGR102" s="4"/>
      <c r="QGW102" s="7"/>
      <c r="QGX102" s="7"/>
      <c r="QGY102" s="7"/>
      <c r="QGZ102" s="4"/>
      <c r="QHE102" s="7"/>
      <c r="QHF102" s="7"/>
      <c r="QHG102" s="7"/>
      <c r="QHH102" s="4"/>
      <c r="QHM102" s="7"/>
      <c r="QHN102" s="7"/>
      <c r="QHO102" s="7"/>
      <c r="QHP102" s="4"/>
      <c r="QHU102" s="7"/>
      <c r="QHV102" s="7"/>
      <c r="QHW102" s="7"/>
      <c r="QHX102" s="4"/>
      <c r="QIC102" s="7"/>
      <c r="QID102" s="7"/>
      <c r="QIE102" s="7"/>
      <c r="QIF102" s="4"/>
      <c r="QIK102" s="7"/>
      <c r="QIL102" s="7"/>
      <c r="QIM102" s="7"/>
      <c r="QIN102" s="4"/>
      <c r="QIS102" s="7"/>
      <c r="QIT102" s="7"/>
      <c r="QIU102" s="7"/>
      <c r="QIV102" s="4"/>
      <c r="QJA102" s="7"/>
      <c r="QJB102" s="7"/>
      <c r="QJC102" s="7"/>
      <c r="QJD102" s="4"/>
      <c r="QJI102" s="7"/>
      <c r="QJJ102" s="7"/>
      <c r="QJK102" s="7"/>
      <c r="QJL102" s="4"/>
      <c r="QJQ102" s="7"/>
      <c r="QJR102" s="7"/>
      <c r="QJS102" s="7"/>
      <c r="QJT102" s="4"/>
      <c r="QJY102" s="7"/>
      <c r="QJZ102" s="7"/>
      <c r="QKA102" s="7"/>
      <c r="QKB102" s="4"/>
      <c r="QKG102" s="7"/>
      <c r="QKH102" s="7"/>
      <c r="QKI102" s="7"/>
      <c r="QKJ102" s="4"/>
      <c r="QKO102" s="7"/>
      <c r="QKP102" s="7"/>
      <c r="QKQ102" s="7"/>
      <c r="QKR102" s="4"/>
      <c r="QKW102" s="7"/>
      <c r="QKX102" s="7"/>
      <c r="QKY102" s="7"/>
      <c r="QKZ102" s="4"/>
      <c r="QLE102" s="7"/>
      <c r="QLF102" s="7"/>
      <c r="QLG102" s="7"/>
      <c r="QLH102" s="4"/>
      <c r="QLM102" s="7"/>
      <c r="QLN102" s="7"/>
      <c r="QLO102" s="7"/>
      <c r="QLP102" s="4"/>
      <c r="QLU102" s="7"/>
      <c r="QLV102" s="7"/>
      <c r="QLW102" s="7"/>
      <c r="QLX102" s="4"/>
      <c r="QMC102" s="7"/>
      <c r="QMD102" s="7"/>
      <c r="QME102" s="7"/>
      <c r="QMF102" s="4"/>
      <c r="QMK102" s="7"/>
      <c r="QML102" s="7"/>
      <c r="QMM102" s="7"/>
      <c r="QMN102" s="4"/>
      <c r="QMS102" s="7"/>
      <c r="QMT102" s="7"/>
      <c r="QMU102" s="7"/>
      <c r="QMV102" s="4"/>
      <c r="QNA102" s="7"/>
      <c r="QNB102" s="7"/>
      <c r="QNC102" s="7"/>
      <c r="QND102" s="4"/>
      <c r="QNI102" s="7"/>
      <c r="QNJ102" s="7"/>
      <c r="QNK102" s="7"/>
      <c r="QNL102" s="4"/>
      <c r="QNQ102" s="7"/>
      <c r="QNR102" s="7"/>
      <c r="QNS102" s="7"/>
      <c r="QNT102" s="4"/>
      <c r="QNY102" s="7"/>
      <c r="QNZ102" s="7"/>
      <c r="QOA102" s="7"/>
      <c r="QOB102" s="4"/>
      <c r="QOG102" s="7"/>
      <c r="QOH102" s="7"/>
      <c r="QOI102" s="7"/>
      <c r="QOJ102" s="4"/>
      <c r="QOO102" s="7"/>
      <c r="QOP102" s="7"/>
      <c r="QOQ102" s="7"/>
      <c r="QOR102" s="4"/>
      <c r="QOW102" s="7"/>
      <c r="QOX102" s="7"/>
      <c r="QOY102" s="7"/>
      <c r="QOZ102" s="4"/>
      <c r="QPE102" s="7"/>
      <c r="QPF102" s="7"/>
      <c r="QPG102" s="7"/>
      <c r="QPH102" s="4"/>
      <c r="QPM102" s="7"/>
      <c r="QPN102" s="7"/>
      <c r="QPO102" s="7"/>
      <c r="QPP102" s="4"/>
      <c r="QPU102" s="7"/>
      <c r="QPV102" s="7"/>
      <c r="QPW102" s="7"/>
      <c r="QPX102" s="4"/>
      <c r="QQC102" s="7"/>
      <c r="QQD102" s="7"/>
      <c r="QQE102" s="7"/>
      <c r="QQF102" s="4"/>
      <c r="QQK102" s="7"/>
      <c r="QQL102" s="7"/>
      <c r="QQM102" s="7"/>
      <c r="QQN102" s="4"/>
      <c r="QQS102" s="7"/>
      <c r="QQT102" s="7"/>
      <c r="QQU102" s="7"/>
      <c r="QQV102" s="4"/>
      <c r="QRA102" s="7"/>
      <c r="QRB102" s="7"/>
      <c r="QRC102" s="7"/>
      <c r="QRD102" s="4"/>
      <c r="QRI102" s="7"/>
      <c r="QRJ102" s="7"/>
      <c r="QRK102" s="7"/>
      <c r="QRL102" s="4"/>
      <c r="QRQ102" s="7"/>
      <c r="QRR102" s="7"/>
      <c r="QRS102" s="7"/>
      <c r="QRT102" s="4"/>
      <c r="QRY102" s="7"/>
      <c r="QRZ102" s="7"/>
      <c r="QSA102" s="7"/>
      <c r="QSB102" s="4"/>
      <c r="QSG102" s="7"/>
      <c r="QSH102" s="7"/>
      <c r="QSI102" s="7"/>
      <c r="QSJ102" s="4"/>
      <c r="QSO102" s="7"/>
      <c r="QSP102" s="7"/>
      <c r="QSQ102" s="7"/>
      <c r="QSR102" s="4"/>
      <c r="QSW102" s="7"/>
      <c r="QSX102" s="7"/>
      <c r="QSY102" s="7"/>
      <c r="QSZ102" s="4"/>
      <c r="QTE102" s="7"/>
      <c r="QTF102" s="7"/>
      <c r="QTG102" s="7"/>
      <c r="QTH102" s="4"/>
      <c r="QTM102" s="7"/>
      <c r="QTN102" s="7"/>
      <c r="QTO102" s="7"/>
      <c r="QTP102" s="4"/>
      <c r="QTU102" s="7"/>
      <c r="QTV102" s="7"/>
      <c r="QTW102" s="7"/>
      <c r="QTX102" s="4"/>
      <c r="QUC102" s="7"/>
      <c r="QUD102" s="7"/>
      <c r="QUE102" s="7"/>
      <c r="QUF102" s="4"/>
      <c r="QUK102" s="7"/>
      <c r="QUL102" s="7"/>
      <c r="QUM102" s="7"/>
      <c r="QUN102" s="4"/>
      <c r="QUS102" s="7"/>
      <c r="QUT102" s="7"/>
      <c r="QUU102" s="7"/>
      <c r="QUV102" s="4"/>
      <c r="QVA102" s="7"/>
      <c r="QVB102" s="7"/>
      <c r="QVC102" s="7"/>
      <c r="QVD102" s="4"/>
      <c r="QVI102" s="7"/>
      <c r="QVJ102" s="7"/>
      <c r="QVK102" s="7"/>
      <c r="QVL102" s="4"/>
      <c r="QVQ102" s="7"/>
      <c r="QVR102" s="7"/>
      <c r="QVS102" s="7"/>
      <c r="QVT102" s="4"/>
      <c r="QVY102" s="7"/>
      <c r="QVZ102" s="7"/>
      <c r="QWA102" s="7"/>
      <c r="QWB102" s="4"/>
      <c r="QWG102" s="7"/>
      <c r="QWH102" s="7"/>
      <c r="QWI102" s="7"/>
      <c r="QWJ102" s="4"/>
      <c r="QWO102" s="7"/>
      <c r="QWP102" s="7"/>
      <c r="QWQ102" s="7"/>
      <c r="QWR102" s="4"/>
      <c r="QWW102" s="7"/>
      <c r="QWX102" s="7"/>
      <c r="QWY102" s="7"/>
      <c r="QWZ102" s="4"/>
      <c r="QXE102" s="7"/>
      <c r="QXF102" s="7"/>
      <c r="QXG102" s="7"/>
      <c r="QXH102" s="4"/>
      <c r="QXM102" s="7"/>
      <c r="QXN102" s="7"/>
      <c r="QXO102" s="7"/>
      <c r="QXP102" s="4"/>
      <c r="QXU102" s="7"/>
      <c r="QXV102" s="7"/>
      <c r="QXW102" s="7"/>
      <c r="QXX102" s="4"/>
      <c r="QYC102" s="7"/>
      <c r="QYD102" s="7"/>
      <c r="QYE102" s="7"/>
      <c r="QYF102" s="4"/>
      <c r="QYK102" s="7"/>
      <c r="QYL102" s="7"/>
      <c r="QYM102" s="7"/>
      <c r="QYN102" s="4"/>
      <c r="QYS102" s="7"/>
      <c r="QYT102" s="7"/>
      <c r="QYU102" s="7"/>
      <c r="QYV102" s="4"/>
      <c r="QZA102" s="7"/>
      <c r="QZB102" s="7"/>
      <c r="QZC102" s="7"/>
      <c r="QZD102" s="4"/>
      <c r="QZI102" s="7"/>
      <c r="QZJ102" s="7"/>
      <c r="QZK102" s="7"/>
      <c r="QZL102" s="4"/>
      <c r="QZQ102" s="7"/>
      <c r="QZR102" s="7"/>
      <c r="QZS102" s="7"/>
      <c r="QZT102" s="4"/>
      <c r="QZY102" s="7"/>
      <c r="QZZ102" s="7"/>
      <c r="RAA102" s="7"/>
      <c r="RAB102" s="4"/>
      <c r="RAG102" s="7"/>
      <c r="RAH102" s="7"/>
      <c r="RAI102" s="7"/>
      <c r="RAJ102" s="4"/>
      <c r="RAO102" s="7"/>
      <c r="RAP102" s="7"/>
      <c r="RAQ102" s="7"/>
      <c r="RAR102" s="4"/>
      <c r="RAW102" s="7"/>
      <c r="RAX102" s="7"/>
      <c r="RAY102" s="7"/>
      <c r="RAZ102" s="4"/>
      <c r="RBE102" s="7"/>
      <c r="RBF102" s="7"/>
      <c r="RBG102" s="7"/>
      <c r="RBH102" s="4"/>
      <c r="RBM102" s="7"/>
      <c r="RBN102" s="7"/>
      <c r="RBO102" s="7"/>
      <c r="RBP102" s="4"/>
      <c r="RBU102" s="7"/>
      <c r="RBV102" s="7"/>
      <c r="RBW102" s="7"/>
      <c r="RBX102" s="4"/>
      <c r="RCC102" s="7"/>
      <c r="RCD102" s="7"/>
      <c r="RCE102" s="7"/>
      <c r="RCF102" s="4"/>
      <c r="RCK102" s="7"/>
      <c r="RCL102" s="7"/>
      <c r="RCM102" s="7"/>
      <c r="RCN102" s="4"/>
      <c r="RCS102" s="7"/>
      <c r="RCT102" s="7"/>
      <c r="RCU102" s="7"/>
      <c r="RCV102" s="4"/>
      <c r="RDA102" s="7"/>
      <c r="RDB102" s="7"/>
      <c r="RDC102" s="7"/>
      <c r="RDD102" s="4"/>
      <c r="RDI102" s="7"/>
      <c r="RDJ102" s="7"/>
      <c r="RDK102" s="7"/>
      <c r="RDL102" s="4"/>
      <c r="RDQ102" s="7"/>
      <c r="RDR102" s="7"/>
      <c r="RDS102" s="7"/>
      <c r="RDT102" s="4"/>
      <c r="RDY102" s="7"/>
      <c r="RDZ102" s="7"/>
      <c r="REA102" s="7"/>
      <c r="REB102" s="4"/>
      <c r="REG102" s="7"/>
      <c r="REH102" s="7"/>
      <c r="REI102" s="7"/>
      <c r="REJ102" s="4"/>
      <c r="REO102" s="7"/>
      <c r="REP102" s="7"/>
      <c r="REQ102" s="7"/>
      <c r="RER102" s="4"/>
      <c r="REW102" s="7"/>
      <c r="REX102" s="7"/>
      <c r="REY102" s="7"/>
      <c r="REZ102" s="4"/>
      <c r="RFE102" s="7"/>
      <c r="RFF102" s="7"/>
      <c r="RFG102" s="7"/>
      <c r="RFH102" s="4"/>
      <c r="RFM102" s="7"/>
      <c r="RFN102" s="7"/>
      <c r="RFO102" s="7"/>
      <c r="RFP102" s="4"/>
      <c r="RFU102" s="7"/>
      <c r="RFV102" s="7"/>
      <c r="RFW102" s="7"/>
      <c r="RFX102" s="4"/>
      <c r="RGC102" s="7"/>
      <c r="RGD102" s="7"/>
      <c r="RGE102" s="7"/>
      <c r="RGF102" s="4"/>
      <c r="RGK102" s="7"/>
      <c r="RGL102" s="7"/>
      <c r="RGM102" s="7"/>
      <c r="RGN102" s="4"/>
      <c r="RGS102" s="7"/>
      <c r="RGT102" s="7"/>
      <c r="RGU102" s="7"/>
      <c r="RGV102" s="4"/>
      <c r="RHA102" s="7"/>
      <c r="RHB102" s="7"/>
      <c r="RHC102" s="7"/>
      <c r="RHD102" s="4"/>
      <c r="RHI102" s="7"/>
      <c r="RHJ102" s="7"/>
      <c r="RHK102" s="7"/>
      <c r="RHL102" s="4"/>
      <c r="RHQ102" s="7"/>
      <c r="RHR102" s="7"/>
      <c r="RHS102" s="7"/>
      <c r="RHT102" s="4"/>
      <c r="RHY102" s="7"/>
      <c r="RHZ102" s="7"/>
      <c r="RIA102" s="7"/>
      <c r="RIB102" s="4"/>
      <c r="RIG102" s="7"/>
      <c r="RIH102" s="7"/>
      <c r="RII102" s="7"/>
      <c r="RIJ102" s="4"/>
      <c r="RIO102" s="7"/>
      <c r="RIP102" s="7"/>
      <c r="RIQ102" s="7"/>
      <c r="RIR102" s="4"/>
      <c r="RIW102" s="7"/>
      <c r="RIX102" s="7"/>
      <c r="RIY102" s="7"/>
      <c r="RIZ102" s="4"/>
      <c r="RJE102" s="7"/>
      <c r="RJF102" s="7"/>
      <c r="RJG102" s="7"/>
      <c r="RJH102" s="4"/>
      <c r="RJM102" s="7"/>
      <c r="RJN102" s="7"/>
      <c r="RJO102" s="7"/>
      <c r="RJP102" s="4"/>
      <c r="RJU102" s="7"/>
      <c r="RJV102" s="7"/>
      <c r="RJW102" s="7"/>
      <c r="RJX102" s="4"/>
      <c r="RKC102" s="7"/>
      <c r="RKD102" s="7"/>
      <c r="RKE102" s="7"/>
      <c r="RKF102" s="4"/>
      <c r="RKK102" s="7"/>
      <c r="RKL102" s="7"/>
      <c r="RKM102" s="7"/>
      <c r="RKN102" s="4"/>
      <c r="RKS102" s="7"/>
      <c r="RKT102" s="7"/>
      <c r="RKU102" s="7"/>
      <c r="RKV102" s="4"/>
      <c r="RLA102" s="7"/>
      <c r="RLB102" s="7"/>
      <c r="RLC102" s="7"/>
      <c r="RLD102" s="4"/>
      <c r="RLI102" s="7"/>
      <c r="RLJ102" s="7"/>
      <c r="RLK102" s="7"/>
      <c r="RLL102" s="4"/>
      <c r="RLQ102" s="7"/>
      <c r="RLR102" s="7"/>
      <c r="RLS102" s="7"/>
      <c r="RLT102" s="4"/>
      <c r="RLY102" s="7"/>
      <c r="RLZ102" s="7"/>
      <c r="RMA102" s="7"/>
      <c r="RMB102" s="4"/>
      <c r="RMG102" s="7"/>
      <c r="RMH102" s="7"/>
      <c r="RMI102" s="7"/>
      <c r="RMJ102" s="4"/>
      <c r="RMO102" s="7"/>
      <c r="RMP102" s="7"/>
      <c r="RMQ102" s="7"/>
      <c r="RMR102" s="4"/>
      <c r="RMW102" s="7"/>
      <c r="RMX102" s="7"/>
      <c r="RMY102" s="7"/>
      <c r="RMZ102" s="4"/>
      <c r="RNE102" s="7"/>
      <c r="RNF102" s="7"/>
      <c r="RNG102" s="7"/>
      <c r="RNH102" s="4"/>
      <c r="RNM102" s="7"/>
      <c r="RNN102" s="7"/>
      <c r="RNO102" s="7"/>
      <c r="RNP102" s="4"/>
      <c r="RNU102" s="7"/>
      <c r="RNV102" s="7"/>
      <c r="RNW102" s="7"/>
      <c r="RNX102" s="4"/>
      <c r="ROC102" s="7"/>
      <c r="ROD102" s="7"/>
      <c r="ROE102" s="7"/>
      <c r="ROF102" s="4"/>
      <c r="ROK102" s="7"/>
      <c r="ROL102" s="7"/>
      <c r="ROM102" s="7"/>
      <c r="RON102" s="4"/>
      <c r="ROS102" s="7"/>
      <c r="ROT102" s="7"/>
      <c r="ROU102" s="7"/>
      <c r="ROV102" s="4"/>
      <c r="RPA102" s="7"/>
      <c r="RPB102" s="7"/>
      <c r="RPC102" s="7"/>
      <c r="RPD102" s="4"/>
      <c r="RPI102" s="7"/>
      <c r="RPJ102" s="7"/>
      <c r="RPK102" s="7"/>
      <c r="RPL102" s="4"/>
      <c r="RPQ102" s="7"/>
      <c r="RPR102" s="7"/>
      <c r="RPS102" s="7"/>
      <c r="RPT102" s="4"/>
      <c r="RPY102" s="7"/>
      <c r="RPZ102" s="7"/>
      <c r="RQA102" s="7"/>
      <c r="RQB102" s="4"/>
      <c r="RQG102" s="7"/>
      <c r="RQH102" s="7"/>
      <c r="RQI102" s="7"/>
      <c r="RQJ102" s="4"/>
      <c r="RQO102" s="7"/>
      <c r="RQP102" s="7"/>
      <c r="RQQ102" s="7"/>
      <c r="RQR102" s="4"/>
      <c r="RQW102" s="7"/>
      <c r="RQX102" s="7"/>
      <c r="RQY102" s="7"/>
      <c r="RQZ102" s="4"/>
      <c r="RRE102" s="7"/>
      <c r="RRF102" s="7"/>
      <c r="RRG102" s="7"/>
      <c r="RRH102" s="4"/>
      <c r="RRM102" s="7"/>
      <c r="RRN102" s="7"/>
      <c r="RRO102" s="7"/>
      <c r="RRP102" s="4"/>
      <c r="RRU102" s="7"/>
      <c r="RRV102" s="7"/>
      <c r="RRW102" s="7"/>
      <c r="RRX102" s="4"/>
      <c r="RSC102" s="7"/>
      <c r="RSD102" s="7"/>
      <c r="RSE102" s="7"/>
      <c r="RSF102" s="4"/>
      <c r="RSK102" s="7"/>
      <c r="RSL102" s="7"/>
      <c r="RSM102" s="7"/>
      <c r="RSN102" s="4"/>
      <c r="RSS102" s="7"/>
      <c r="RST102" s="7"/>
      <c r="RSU102" s="7"/>
      <c r="RSV102" s="4"/>
      <c r="RTA102" s="7"/>
      <c r="RTB102" s="7"/>
      <c r="RTC102" s="7"/>
      <c r="RTD102" s="4"/>
      <c r="RTI102" s="7"/>
      <c r="RTJ102" s="7"/>
      <c r="RTK102" s="7"/>
      <c r="RTL102" s="4"/>
      <c r="RTQ102" s="7"/>
      <c r="RTR102" s="7"/>
      <c r="RTS102" s="7"/>
      <c r="RTT102" s="4"/>
      <c r="RTY102" s="7"/>
      <c r="RTZ102" s="7"/>
      <c r="RUA102" s="7"/>
      <c r="RUB102" s="4"/>
      <c r="RUG102" s="7"/>
      <c r="RUH102" s="7"/>
      <c r="RUI102" s="7"/>
      <c r="RUJ102" s="4"/>
      <c r="RUO102" s="7"/>
      <c r="RUP102" s="7"/>
      <c r="RUQ102" s="7"/>
      <c r="RUR102" s="4"/>
      <c r="RUW102" s="7"/>
      <c r="RUX102" s="7"/>
      <c r="RUY102" s="7"/>
      <c r="RUZ102" s="4"/>
      <c r="RVE102" s="7"/>
      <c r="RVF102" s="7"/>
      <c r="RVG102" s="7"/>
      <c r="RVH102" s="4"/>
      <c r="RVM102" s="7"/>
      <c r="RVN102" s="7"/>
      <c r="RVO102" s="7"/>
      <c r="RVP102" s="4"/>
      <c r="RVU102" s="7"/>
      <c r="RVV102" s="7"/>
      <c r="RVW102" s="7"/>
      <c r="RVX102" s="4"/>
      <c r="RWC102" s="7"/>
      <c r="RWD102" s="7"/>
      <c r="RWE102" s="7"/>
      <c r="RWF102" s="4"/>
      <c r="RWK102" s="7"/>
      <c r="RWL102" s="7"/>
      <c r="RWM102" s="7"/>
      <c r="RWN102" s="4"/>
      <c r="RWS102" s="7"/>
      <c r="RWT102" s="7"/>
      <c r="RWU102" s="7"/>
      <c r="RWV102" s="4"/>
      <c r="RXA102" s="7"/>
      <c r="RXB102" s="7"/>
      <c r="RXC102" s="7"/>
      <c r="RXD102" s="4"/>
      <c r="RXI102" s="7"/>
      <c r="RXJ102" s="7"/>
      <c r="RXK102" s="7"/>
      <c r="RXL102" s="4"/>
      <c r="RXQ102" s="7"/>
      <c r="RXR102" s="7"/>
      <c r="RXS102" s="7"/>
      <c r="RXT102" s="4"/>
      <c r="RXY102" s="7"/>
      <c r="RXZ102" s="7"/>
      <c r="RYA102" s="7"/>
      <c r="RYB102" s="4"/>
      <c r="RYG102" s="7"/>
      <c r="RYH102" s="7"/>
      <c r="RYI102" s="7"/>
      <c r="RYJ102" s="4"/>
      <c r="RYO102" s="7"/>
      <c r="RYP102" s="7"/>
      <c r="RYQ102" s="7"/>
      <c r="RYR102" s="4"/>
      <c r="RYW102" s="7"/>
      <c r="RYX102" s="7"/>
      <c r="RYY102" s="7"/>
      <c r="RYZ102" s="4"/>
      <c r="RZE102" s="7"/>
      <c r="RZF102" s="7"/>
      <c r="RZG102" s="7"/>
      <c r="RZH102" s="4"/>
      <c r="RZM102" s="7"/>
      <c r="RZN102" s="7"/>
      <c r="RZO102" s="7"/>
      <c r="RZP102" s="4"/>
      <c r="RZU102" s="7"/>
      <c r="RZV102" s="7"/>
      <c r="RZW102" s="7"/>
      <c r="RZX102" s="4"/>
      <c r="SAC102" s="7"/>
      <c r="SAD102" s="7"/>
      <c r="SAE102" s="7"/>
      <c r="SAF102" s="4"/>
      <c r="SAK102" s="7"/>
      <c r="SAL102" s="7"/>
      <c r="SAM102" s="7"/>
      <c r="SAN102" s="4"/>
      <c r="SAS102" s="7"/>
      <c r="SAT102" s="7"/>
      <c r="SAU102" s="7"/>
      <c r="SAV102" s="4"/>
      <c r="SBA102" s="7"/>
      <c r="SBB102" s="7"/>
      <c r="SBC102" s="7"/>
      <c r="SBD102" s="4"/>
      <c r="SBI102" s="7"/>
      <c r="SBJ102" s="7"/>
      <c r="SBK102" s="7"/>
      <c r="SBL102" s="4"/>
      <c r="SBQ102" s="7"/>
      <c r="SBR102" s="7"/>
      <c r="SBS102" s="7"/>
      <c r="SBT102" s="4"/>
      <c r="SBY102" s="7"/>
      <c r="SBZ102" s="7"/>
      <c r="SCA102" s="7"/>
      <c r="SCB102" s="4"/>
      <c r="SCG102" s="7"/>
      <c r="SCH102" s="7"/>
      <c r="SCI102" s="7"/>
      <c r="SCJ102" s="4"/>
      <c r="SCO102" s="7"/>
      <c r="SCP102" s="7"/>
      <c r="SCQ102" s="7"/>
      <c r="SCR102" s="4"/>
      <c r="SCW102" s="7"/>
      <c r="SCX102" s="7"/>
      <c r="SCY102" s="7"/>
      <c r="SCZ102" s="4"/>
      <c r="SDE102" s="7"/>
      <c r="SDF102" s="7"/>
      <c r="SDG102" s="7"/>
      <c r="SDH102" s="4"/>
      <c r="SDM102" s="7"/>
      <c r="SDN102" s="7"/>
      <c r="SDO102" s="7"/>
      <c r="SDP102" s="4"/>
      <c r="SDU102" s="7"/>
      <c r="SDV102" s="7"/>
      <c r="SDW102" s="7"/>
      <c r="SDX102" s="4"/>
      <c r="SEC102" s="7"/>
      <c r="SED102" s="7"/>
      <c r="SEE102" s="7"/>
      <c r="SEF102" s="4"/>
      <c r="SEK102" s="7"/>
      <c r="SEL102" s="7"/>
      <c r="SEM102" s="7"/>
      <c r="SEN102" s="4"/>
      <c r="SES102" s="7"/>
      <c r="SET102" s="7"/>
      <c r="SEU102" s="7"/>
      <c r="SEV102" s="4"/>
      <c r="SFA102" s="7"/>
      <c r="SFB102" s="7"/>
      <c r="SFC102" s="7"/>
      <c r="SFD102" s="4"/>
      <c r="SFI102" s="7"/>
      <c r="SFJ102" s="7"/>
      <c r="SFK102" s="7"/>
      <c r="SFL102" s="4"/>
      <c r="SFQ102" s="7"/>
      <c r="SFR102" s="7"/>
      <c r="SFS102" s="7"/>
      <c r="SFT102" s="4"/>
      <c r="SFY102" s="7"/>
      <c r="SFZ102" s="7"/>
      <c r="SGA102" s="7"/>
      <c r="SGB102" s="4"/>
      <c r="SGG102" s="7"/>
      <c r="SGH102" s="7"/>
      <c r="SGI102" s="7"/>
      <c r="SGJ102" s="4"/>
      <c r="SGO102" s="7"/>
      <c r="SGP102" s="7"/>
      <c r="SGQ102" s="7"/>
      <c r="SGR102" s="4"/>
      <c r="SGW102" s="7"/>
      <c r="SGX102" s="7"/>
      <c r="SGY102" s="7"/>
      <c r="SGZ102" s="4"/>
      <c r="SHE102" s="7"/>
      <c r="SHF102" s="7"/>
      <c r="SHG102" s="7"/>
      <c r="SHH102" s="4"/>
      <c r="SHM102" s="7"/>
      <c r="SHN102" s="7"/>
      <c r="SHO102" s="7"/>
      <c r="SHP102" s="4"/>
      <c r="SHU102" s="7"/>
      <c r="SHV102" s="7"/>
      <c r="SHW102" s="7"/>
      <c r="SHX102" s="4"/>
      <c r="SIC102" s="7"/>
      <c r="SID102" s="7"/>
      <c r="SIE102" s="7"/>
      <c r="SIF102" s="4"/>
      <c r="SIK102" s="7"/>
      <c r="SIL102" s="7"/>
      <c r="SIM102" s="7"/>
      <c r="SIN102" s="4"/>
      <c r="SIS102" s="7"/>
      <c r="SIT102" s="7"/>
      <c r="SIU102" s="7"/>
      <c r="SIV102" s="4"/>
      <c r="SJA102" s="7"/>
      <c r="SJB102" s="7"/>
      <c r="SJC102" s="7"/>
      <c r="SJD102" s="4"/>
      <c r="SJI102" s="7"/>
      <c r="SJJ102" s="7"/>
      <c r="SJK102" s="7"/>
      <c r="SJL102" s="4"/>
      <c r="SJQ102" s="7"/>
      <c r="SJR102" s="7"/>
      <c r="SJS102" s="7"/>
      <c r="SJT102" s="4"/>
      <c r="SJY102" s="7"/>
      <c r="SJZ102" s="7"/>
      <c r="SKA102" s="7"/>
      <c r="SKB102" s="4"/>
      <c r="SKG102" s="7"/>
      <c r="SKH102" s="7"/>
      <c r="SKI102" s="7"/>
      <c r="SKJ102" s="4"/>
      <c r="SKO102" s="7"/>
      <c r="SKP102" s="7"/>
      <c r="SKQ102" s="7"/>
      <c r="SKR102" s="4"/>
      <c r="SKW102" s="7"/>
      <c r="SKX102" s="7"/>
      <c r="SKY102" s="7"/>
      <c r="SKZ102" s="4"/>
      <c r="SLE102" s="7"/>
      <c r="SLF102" s="7"/>
      <c r="SLG102" s="7"/>
      <c r="SLH102" s="4"/>
      <c r="SLM102" s="7"/>
      <c r="SLN102" s="7"/>
      <c r="SLO102" s="7"/>
      <c r="SLP102" s="4"/>
      <c r="SLU102" s="7"/>
      <c r="SLV102" s="7"/>
      <c r="SLW102" s="7"/>
      <c r="SLX102" s="4"/>
      <c r="SMC102" s="7"/>
      <c r="SMD102" s="7"/>
      <c r="SME102" s="7"/>
      <c r="SMF102" s="4"/>
      <c r="SMK102" s="7"/>
      <c r="SML102" s="7"/>
      <c r="SMM102" s="7"/>
      <c r="SMN102" s="4"/>
      <c r="SMS102" s="7"/>
      <c r="SMT102" s="7"/>
      <c r="SMU102" s="7"/>
      <c r="SMV102" s="4"/>
      <c r="SNA102" s="7"/>
      <c r="SNB102" s="7"/>
      <c r="SNC102" s="7"/>
      <c r="SND102" s="4"/>
      <c r="SNI102" s="7"/>
      <c r="SNJ102" s="7"/>
      <c r="SNK102" s="7"/>
      <c r="SNL102" s="4"/>
      <c r="SNQ102" s="7"/>
      <c r="SNR102" s="7"/>
      <c r="SNS102" s="7"/>
      <c r="SNT102" s="4"/>
      <c r="SNY102" s="7"/>
      <c r="SNZ102" s="7"/>
      <c r="SOA102" s="7"/>
      <c r="SOB102" s="4"/>
      <c r="SOG102" s="7"/>
      <c r="SOH102" s="7"/>
      <c r="SOI102" s="7"/>
      <c r="SOJ102" s="4"/>
      <c r="SOO102" s="7"/>
      <c r="SOP102" s="7"/>
      <c r="SOQ102" s="7"/>
      <c r="SOR102" s="4"/>
      <c r="SOW102" s="7"/>
      <c r="SOX102" s="7"/>
      <c r="SOY102" s="7"/>
      <c r="SOZ102" s="4"/>
      <c r="SPE102" s="7"/>
      <c r="SPF102" s="7"/>
      <c r="SPG102" s="7"/>
      <c r="SPH102" s="4"/>
      <c r="SPM102" s="7"/>
      <c r="SPN102" s="7"/>
      <c r="SPO102" s="7"/>
      <c r="SPP102" s="4"/>
      <c r="SPU102" s="7"/>
      <c r="SPV102" s="7"/>
      <c r="SPW102" s="7"/>
      <c r="SPX102" s="4"/>
      <c r="SQC102" s="7"/>
      <c r="SQD102" s="7"/>
      <c r="SQE102" s="7"/>
      <c r="SQF102" s="4"/>
      <c r="SQK102" s="7"/>
      <c r="SQL102" s="7"/>
      <c r="SQM102" s="7"/>
      <c r="SQN102" s="4"/>
      <c r="SQS102" s="7"/>
      <c r="SQT102" s="7"/>
      <c r="SQU102" s="7"/>
      <c r="SQV102" s="4"/>
      <c r="SRA102" s="7"/>
      <c r="SRB102" s="7"/>
      <c r="SRC102" s="7"/>
      <c r="SRD102" s="4"/>
      <c r="SRI102" s="7"/>
      <c r="SRJ102" s="7"/>
      <c r="SRK102" s="7"/>
      <c r="SRL102" s="4"/>
      <c r="SRQ102" s="7"/>
      <c r="SRR102" s="7"/>
      <c r="SRS102" s="7"/>
      <c r="SRT102" s="4"/>
      <c r="SRY102" s="7"/>
      <c r="SRZ102" s="7"/>
      <c r="SSA102" s="7"/>
      <c r="SSB102" s="4"/>
      <c r="SSG102" s="7"/>
      <c r="SSH102" s="7"/>
      <c r="SSI102" s="7"/>
      <c r="SSJ102" s="4"/>
      <c r="SSO102" s="7"/>
      <c r="SSP102" s="7"/>
      <c r="SSQ102" s="7"/>
      <c r="SSR102" s="4"/>
      <c r="SSW102" s="7"/>
      <c r="SSX102" s="7"/>
      <c r="SSY102" s="7"/>
      <c r="SSZ102" s="4"/>
      <c r="STE102" s="7"/>
      <c r="STF102" s="7"/>
      <c r="STG102" s="7"/>
      <c r="STH102" s="4"/>
      <c r="STM102" s="7"/>
      <c r="STN102" s="7"/>
      <c r="STO102" s="7"/>
      <c r="STP102" s="4"/>
      <c r="STU102" s="7"/>
      <c r="STV102" s="7"/>
      <c r="STW102" s="7"/>
      <c r="STX102" s="4"/>
      <c r="SUC102" s="7"/>
      <c r="SUD102" s="7"/>
      <c r="SUE102" s="7"/>
      <c r="SUF102" s="4"/>
      <c r="SUK102" s="7"/>
      <c r="SUL102" s="7"/>
      <c r="SUM102" s="7"/>
      <c r="SUN102" s="4"/>
      <c r="SUS102" s="7"/>
      <c r="SUT102" s="7"/>
      <c r="SUU102" s="7"/>
      <c r="SUV102" s="4"/>
      <c r="SVA102" s="7"/>
      <c r="SVB102" s="7"/>
      <c r="SVC102" s="7"/>
      <c r="SVD102" s="4"/>
      <c r="SVI102" s="7"/>
      <c r="SVJ102" s="7"/>
      <c r="SVK102" s="7"/>
      <c r="SVL102" s="4"/>
      <c r="SVQ102" s="7"/>
      <c r="SVR102" s="7"/>
      <c r="SVS102" s="7"/>
      <c r="SVT102" s="4"/>
      <c r="SVY102" s="7"/>
      <c r="SVZ102" s="7"/>
      <c r="SWA102" s="7"/>
      <c r="SWB102" s="4"/>
      <c r="SWG102" s="7"/>
      <c r="SWH102" s="7"/>
      <c r="SWI102" s="7"/>
      <c r="SWJ102" s="4"/>
      <c r="SWO102" s="7"/>
      <c r="SWP102" s="7"/>
      <c r="SWQ102" s="7"/>
      <c r="SWR102" s="4"/>
      <c r="SWW102" s="7"/>
      <c r="SWX102" s="7"/>
      <c r="SWY102" s="7"/>
      <c r="SWZ102" s="4"/>
      <c r="SXE102" s="7"/>
      <c r="SXF102" s="7"/>
      <c r="SXG102" s="7"/>
      <c r="SXH102" s="4"/>
      <c r="SXM102" s="7"/>
      <c r="SXN102" s="7"/>
      <c r="SXO102" s="7"/>
      <c r="SXP102" s="4"/>
      <c r="SXU102" s="7"/>
      <c r="SXV102" s="7"/>
      <c r="SXW102" s="7"/>
      <c r="SXX102" s="4"/>
      <c r="SYC102" s="7"/>
      <c r="SYD102" s="7"/>
      <c r="SYE102" s="7"/>
      <c r="SYF102" s="4"/>
      <c r="SYK102" s="7"/>
      <c r="SYL102" s="7"/>
      <c r="SYM102" s="7"/>
      <c r="SYN102" s="4"/>
      <c r="SYS102" s="7"/>
      <c r="SYT102" s="7"/>
      <c r="SYU102" s="7"/>
      <c r="SYV102" s="4"/>
      <c r="SZA102" s="7"/>
      <c r="SZB102" s="7"/>
      <c r="SZC102" s="7"/>
      <c r="SZD102" s="4"/>
      <c r="SZI102" s="7"/>
      <c r="SZJ102" s="7"/>
      <c r="SZK102" s="7"/>
      <c r="SZL102" s="4"/>
      <c r="SZQ102" s="7"/>
      <c r="SZR102" s="7"/>
      <c r="SZS102" s="7"/>
      <c r="SZT102" s="4"/>
      <c r="SZY102" s="7"/>
      <c r="SZZ102" s="7"/>
      <c r="TAA102" s="7"/>
      <c r="TAB102" s="4"/>
      <c r="TAG102" s="7"/>
      <c r="TAH102" s="7"/>
      <c r="TAI102" s="7"/>
      <c r="TAJ102" s="4"/>
      <c r="TAO102" s="7"/>
      <c r="TAP102" s="7"/>
      <c r="TAQ102" s="7"/>
      <c r="TAR102" s="4"/>
      <c r="TAW102" s="7"/>
      <c r="TAX102" s="7"/>
      <c r="TAY102" s="7"/>
      <c r="TAZ102" s="4"/>
      <c r="TBE102" s="7"/>
      <c r="TBF102" s="7"/>
      <c r="TBG102" s="7"/>
      <c r="TBH102" s="4"/>
      <c r="TBM102" s="7"/>
      <c r="TBN102" s="7"/>
      <c r="TBO102" s="7"/>
      <c r="TBP102" s="4"/>
      <c r="TBU102" s="7"/>
      <c r="TBV102" s="7"/>
      <c r="TBW102" s="7"/>
      <c r="TBX102" s="4"/>
      <c r="TCC102" s="7"/>
      <c r="TCD102" s="7"/>
      <c r="TCE102" s="7"/>
      <c r="TCF102" s="4"/>
      <c r="TCK102" s="7"/>
      <c r="TCL102" s="7"/>
      <c r="TCM102" s="7"/>
      <c r="TCN102" s="4"/>
      <c r="TCS102" s="7"/>
      <c r="TCT102" s="7"/>
      <c r="TCU102" s="7"/>
      <c r="TCV102" s="4"/>
      <c r="TDA102" s="7"/>
      <c r="TDB102" s="7"/>
      <c r="TDC102" s="7"/>
      <c r="TDD102" s="4"/>
      <c r="TDI102" s="7"/>
      <c r="TDJ102" s="7"/>
      <c r="TDK102" s="7"/>
      <c r="TDL102" s="4"/>
      <c r="TDQ102" s="7"/>
      <c r="TDR102" s="7"/>
      <c r="TDS102" s="7"/>
      <c r="TDT102" s="4"/>
      <c r="TDY102" s="7"/>
      <c r="TDZ102" s="7"/>
      <c r="TEA102" s="7"/>
      <c r="TEB102" s="4"/>
      <c r="TEG102" s="7"/>
      <c r="TEH102" s="7"/>
      <c r="TEI102" s="7"/>
      <c r="TEJ102" s="4"/>
      <c r="TEO102" s="7"/>
      <c r="TEP102" s="7"/>
      <c r="TEQ102" s="7"/>
      <c r="TER102" s="4"/>
      <c r="TEW102" s="7"/>
      <c r="TEX102" s="7"/>
      <c r="TEY102" s="7"/>
      <c r="TEZ102" s="4"/>
      <c r="TFE102" s="7"/>
      <c r="TFF102" s="7"/>
      <c r="TFG102" s="7"/>
      <c r="TFH102" s="4"/>
      <c r="TFM102" s="7"/>
      <c r="TFN102" s="7"/>
      <c r="TFO102" s="7"/>
      <c r="TFP102" s="4"/>
      <c r="TFU102" s="7"/>
      <c r="TFV102" s="7"/>
      <c r="TFW102" s="7"/>
      <c r="TFX102" s="4"/>
      <c r="TGC102" s="7"/>
      <c r="TGD102" s="7"/>
      <c r="TGE102" s="7"/>
      <c r="TGF102" s="4"/>
      <c r="TGK102" s="7"/>
      <c r="TGL102" s="7"/>
      <c r="TGM102" s="7"/>
      <c r="TGN102" s="4"/>
      <c r="TGS102" s="7"/>
      <c r="TGT102" s="7"/>
      <c r="TGU102" s="7"/>
      <c r="TGV102" s="4"/>
      <c r="THA102" s="7"/>
      <c r="THB102" s="7"/>
      <c r="THC102" s="7"/>
      <c r="THD102" s="4"/>
      <c r="THI102" s="7"/>
      <c r="THJ102" s="7"/>
      <c r="THK102" s="7"/>
      <c r="THL102" s="4"/>
      <c r="THQ102" s="7"/>
      <c r="THR102" s="7"/>
      <c r="THS102" s="7"/>
      <c r="THT102" s="4"/>
      <c r="THY102" s="7"/>
      <c r="THZ102" s="7"/>
      <c r="TIA102" s="7"/>
      <c r="TIB102" s="4"/>
      <c r="TIG102" s="7"/>
      <c r="TIH102" s="7"/>
      <c r="TII102" s="7"/>
      <c r="TIJ102" s="4"/>
      <c r="TIO102" s="7"/>
      <c r="TIP102" s="7"/>
      <c r="TIQ102" s="7"/>
      <c r="TIR102" s="4"/>
      <c r="TIW102" s="7"/>
      <c r="TIX102" s="7"/>
      <c r="TIY102" s="7"/>
      <c r="TIZ102" s="4"/>
      <c r="TJE102" s="7"/>
      <c r="TJF102" s="7"/>
      <c r="TJG102" s="7"/>
      <c r="TJH102" s="4"/>
      <c r="TJM102" s="7"/>
      <c r="TJN102" s="7"/>
      <c r="TJO102" s="7"/>
      <c r="TJP102" s="4"/>
      <c r="TJU102" s="7"/>
      <c r="TJV102" s="7"/>
      <c r="TJW102" s="7"/>
      <c r="TJX102" s="4"/>
      <c r="TKC102" s="7"/>
      <c r="TKD102" s="7"/>
      <c r="TKE102" s="7"/>
      <c r="TKF102" s="4"/>
      <c r="TKK102" s="7"/>
      <c r="TKL102" s="7"/>
      <c r="TKM102" s="7"/>
      <c r="TKN102" s="4"/>
      <c r="TKS102" s="7"/>
      <c r="TKT102" s="7"/>
      <c r="TKU102" s="7"/>
      <c r="TKV102" s="4"/>
      <c r="TLA102" s="7"/>
      <c r="TLB102" s="7"/>
      <c r="TLC102" s="7"/>
      <c r="TLD102" s="4"/>
      <c r="TLI102" s="7"/>
      <c r="TLJ102" s="7"/>
      <c r="TLK102" s="7"/>
      <c r="TLL102" s="4"/>
      <c r="TLQ102" s="7"/>
      <c r="TLR102" s="7"/>
      <c r="TLS102" s="7"/>
      <c r="TLT102" s="4"/>
      <c r="TLY102" s="7"/>
      <c r="TLZ102" s="7"/>
      <c r="TMA102" s="7"/>
      <c r="TMB102" s="4"/>
      <c r="TMG102" s="7"/>
      <c r="TMH102" s="7"/>
      <c r="TMI102" s="7"/>
      <c r="TMJ102" s="4"/>
      <c r="TMO102" s="7"/>
      <c r="TMP102" s="7"/>
      <c r="TMQ102" s="7"/>
      <c r="TMR102" s="4"/>
      <c r="TMW102" s="7"/>
      <c r="TMX102" s="7"/>
      <c r="TMY102" s="7"/>
      <c r="TMZ102" s="4"/>
      <c r="TNE102" s="7"/>
      <c r="TNF102" s="7"/>
      <c r="TNG102" s="7"/>
      <c r="TNH102" s="4"/>
      <c r="TNM102" s="7"/>
      <c r="TNN102" s="7"/>
      <c r="TNO102" s="7"/>
      <c r="TNP102" s="4"/>
      <c r="TNU102" s="7"/>
      <c r="TNV102" s="7"/>
      <c r="TNW102" s="7"/>
      <c r="TNX102" s="4"/>
      <c r="TOC102" s="7"/>
      <c r="TOD102" s="7"/>
      <c r="TOE102" s="7"/>
      <c r="TOF102" s="4"/>
      <c r="TOK102" s="7"/>
      <c r="TOL102" s="7"/>
      <c r="TOM102" s="7"/>
      <c r="TON102" s="4"/>
      <c r="TOS102" s="7"/>
      <c r="TOT102" s="7"/>
      <c r="TOU102" s="7"/>
      <c r="TOV102" s="4"/>
      <c r="TPA102" s="7"/>
      <c r="TPB102" s="7"/>
      <c r="TPC102" s="7"/>
      <c r="TPD102" s="4"/>
      <c r="TPI102" s="7"/>
      <c r="TPJ102" s="7"/>
      <c r="TPK102" s="7"/>
      <c r="TPL102" s="4"/>
      <c r="TPQ102" s="7"/>
      <c r="TPR102" s="7"/>
      <c r="TPS102" s="7"/>
      <c r="TPT102" s="4"/>
      <c r="TPY102" s="7"/>
      <c r="TPZ102" s="7"/>
      <c r="TQA102" s="7"/>
      <c r="TQB102" s="4"/>
      <c r="TQG102" s="7"/>
      <c r="TQH102" s="7"/>
      <c r="TQI102" s="7"/>
      <c r="TQJ102" s="4"/>
      <c r="TQO102" s="7"/>
      <c r="TQP102" s="7"/>
      <c r="TQQ102" s="7"/>
      <c r="TQR102" s="4"/>
      <c r="TQW102" s="7"/>
      <c r="TQX102" s="7"/>
      <c r="TQY102" s="7"/>
      <c r="TQZ102" s="4"/>
      <c r="TRE102" s="7"/>
      <c r="TRF102" s="7"/>
      <c r="TRG102" s="7"/>
      <c r="TRH102" s="4"/>
      <c r="TRM102" s="7"/>
      <c r="TRN102" s="7"/>
      <c r="TRO102" s="7"/>
      <c r="TRP102" s="4"/>
      <c r="TRU102" s="7"/>
      <c r="TRV102" s="7"/>
      <c r="TRW102" s="7"/>
      <c r="TRX102" s="4"/>
      <c r="TSC102" s="7"/>
      <c r="TSD102" s="7"/>
      <c r="TSE102" s="7"/>
      <c r="TSF102" s="4"/>
      <c r="TSK102" s="7"/>
      <c r="TSL102" s="7"/>
      <c r="TSM102" s="7"/>
      <c r="TSN102" s="4"/>
      <c r="TSS102" s="7"/>
      <c r="TST102" s="7"/>
      <c r="TSU102" s="7"/>
      <c r="TSV102" s="4"/>
      <c r="TTA102" s="7"/>
      <c r="TTB102" s="7"/>
      <c r="TTC102" s="7"/>
      <c r="TTD102" s="4"/>
      <c r="TTI102" s="7"/>
      <c r="TTJ102" s="7"/>
      <c r="TTK102" s="7"/>
      <c r="TTL102" s="4"/>
      <c r="TTQ102" s="7"/>
      <c r="TTR102" s="7"/>
      <c r="TTS102" s="7"/>
      <c r="TTT102" s="4"/>
      <c r="TTY102" s="7"/>
      <c r="TTZ102" s="7"/>
      <c r="TUA102" s="7"/>
      <c r="TUB102" s="4"/>
      <c r="TUG102" s="7"/>
      <c r="TUH102" s="7"/>
      <c r="TUI102" s="7"/>
      <c r="TUJ102" s="4"/>
      <c r="TUO102" s="7"/>
      <c r="TUP102" s="7"/>
      <c r="TUQ102" s="7"/>
      <c r="TUR102" s="4"/>
      <c r="TUW102" s="7"/>
      <c r="TUX102" s="7"/>
      <c r="TUY102" s="7"/>
      <c r="TUZ102" s="4"/>
      <c r="TVE102" s="7"/>
      <c r="TVF102" s="7"/>
      <c r="TVG102" s="7"/>
      <c r="TVH102" s="4"/>
      <c r="TVM102" s="7"/>
      <c r="TVN102" s="7"/>
      <c r="TVO102" s="7"/>
      <c r="TVP102" s="4"/>
      <c r="TVU102" s="7"/>
      <c r="TVV102" s="7"/>
      <c r="TVW102" s="7"/>
      <c r="TVX102" s="4"/>
      <c r="TWC102" s="7"/>
      <c r="TWD102" s="7"/>
      <c r="TWE102" s="7"/>
      <c r="TWF102" s="4"/>
      <c r="TWK102" s="7"/>
      <c r="TWL102" s="7"/>
      <c r="TWM102" s="7"/>
      <c r="TWN102" s="4"/>
      <c r="TWS102" s="7"/>
      <c r="TWT102" s="7"/>
      <c r="TWU102" s="7"/>
      <c r="TWV102" s="4"/>
      <c r="TXA102" s="7"/>
      <c r="TXB102" s="7"/>
      <c r="TXC102" s="7"/>
      <c r="TXD102" s="4"/>
      <c r="TXI102" s="7"/>
      <c r="TXJ102" s="7"/>
      <c r="TXK102" s="7"/>
      <c r="TXL102" s="4"/>
      <c r="TXQ102" s="7"/>
      <c r="TXR102" s="7"/>
      <c r="TXS102" s="7"/>
      <c r="TXT102" s="4"/>
      <c r="TXY102" s="7"/>
      <c r="TXZ102" s="7"/>
      <c r="TYA102" s="7"/>
      <c r="TYB102" s="4"/>
      <c r="TYG102" s="7"/>
      <c r="TYH102" s="7"/>
      <c r="TYI102" s="7"/>
      <c r="TYJ102" s="4"/>
      <c r="TYO102" s="7"/>
      <c r="TYP102" s="7"/>
      <c r="TYQ102" s="7"/>
      <c r="TYR102" s="4"/>
      <c r="TYW102" s="7"/>
      <c r="TYX102" s="7"/>
      <c r="TYY102" s="7"/>
      <c r="TYZ102" s="4"/>
      <c r="TZE102" s="7"/>
      <c r="TZF102" s="7"/>
      <c r="TZG102" s="7"/>
      <c r="TZH102" s="4"/>
      <c r="TZM102" s="7"/>
      <c r="TZN102" s="7"/>
      <c r="TZO102" s="7"/>
      <c r="TZP102" s="4"/>
      <c r="TZU102" s="7"/>
      <c r="TZV102" s="7"/>
      <c r="TZW102" s="7"/>
      <c r="TZX102" s="4"/>
      <c r="UAC102" s="7"/>
      <c r="UAD102" s="7"/>
      <c r="UAE102" s="7"/>
      <c r="UAF102" s="4"/>
      <c r="UAK102" s="7"/>
      <c r="UAL102" s="7"/>
      <c r="UAM102" s="7"/>
      <c r="UAN102" s="4"/>
      <c r="UAS102" s="7"/>
      <c r="UAT102" s="7"/>
      <c r="UAU102" s="7"/>
      <c r="UAV102" s="4"/>
      <c r="UBA102" s="7"/>
      <c r="UBB102" s="7"/>
      <c r="UBC102" s="7"/>
      <c r="UBD102" s="4"/>
      <c r="UBI102" s="7"/>
      <c r="UBJ102" s="7"/>
      <c r="UBK102" s="7"/>
      <c r="UBL102" s="4"/>
      <c r="UBQ102" s="7"/>
      <c r="UBR102" s="7"/>
      <c r="UBS102" s="7"/>
      <c r="UBT102" s="4"/>
      <c r="UBY102" s="7"/>
      <c r="UBZ102" s="7"/>
      <c r="UCA102" s="7"/>
      <c r="UCB102" s="4"/>
      <c r="UCG102" s="7"/>
      <c r="UCH102" s="7"/>
      <c r="UCI102" s="7"/>
      <c r="UCJ102" s="4"/>
      <c r="UCO102" s="7"/>
      <c r="UCP102" s="7"/>
      <c r="UCQ102" s="7"/>
      <c r="UCR102" s="4"/>
      <c r="UCW102" s="7"/>
      <c r="UCX102" s="7"/>
      <c r="UCY102" s="7"/>
      <c r="UCZ102" s="4"/>
      <c r="UDE102" s="7"/>
      <c r="UDF102" s="7"/>
      <c r="UDG102" s="7"/>
      <c r="UDH102" s="4"/>
      <c r="UDM102" s="7"/>
      <c r="UDN102" s="7"/>
      <c r="UDO102" s="7"/>
      <c r="UDP102" s="4"/>
      <c r="UDU102" s="7"/>
      <c r="UDV102" s="7"/>
      <c r="UDW102" s="7"/>
      <c r="UDX102" s="4"/>
      <c r="UEC102" s="7"/>
      <c r="UED102" s="7"/>
      <c r="UEE102" s="7"/>
      <c r="UEF102" s="4"/>
      <c r="UEK102" s="7"/>
      <c r="UEL102" s="7"/>
      <c r="UEM102" s="7"/>
      <c r="UEN102" s="4"/>
      <c r="UES102" s="7"/>
      <c r="UET102" s="7"/>
      <c r="UEU102" s="7"/>
      <c r="UEV102" s="4"/>
      <c r="UFA102" s="7"/>
      <c r="UFB102" s="7"/>
      <c r="UFC102" s="7"/>
      <c r="UFD102" s="4"/>
      <c r="UFI102" s="7"/>
      <c r="UFJ102" s="7"/>
      <c r="UFK102" s="7"/>
      <c r="UFL102" s="4"/>
      <c r="UFQ102" s="7"/>
      <c r="UFR102" s="7"/>
      <c r="UFS102" s="7"/>
      <c r="UFT102" s="4"/>
      <c r="UFY102" s="7"/>
      <c r="UFZ102" s="7"/>
      <c r="UGA102" s="7"/>
      <c r="UGB102" s="4"/>
      <c r="UGG102" s="7"/>
      <c r="UGH102" s="7"/>
      <c r="UGI102" s="7"/>
      <c r="UGJ102" s="4"/>
      <c r="UGO102" s="7"/>
      <c r="UGP102" s="7"/>
      <c r="UGQ102" s="7"/>
      <c r="UGR102" s="4"/>
      <c r="UGW102" s="7"/>
      <c r="UGX102" s="7"/>
      <c r="UGY102" s="7"/>
      <c r="UGZ102" s="4"/>
      <c r="UHE102" s="7"/>
      <c r="UHF102" s="7"/>
      <c r="UHG102" s="7"/>
      <c r="UHH102" s="4"/>
      <c r="UHM102" s="7"/>
      <c r="UHN102" s="7"/>
      <c r="UHO102" s="7"/>
      <c r="UHP102" s="4"/>
      <c r="UHU102" s="7"/>
      <c r="UHV102" s="7"/>
      <c r="UHW102" s="7"/>
      <c r="UHX102" s="4"/>
      <c r="UIC102" s="7"/>
      <c r="UID102" s="7"/>
      <c r="UIE102" s="7"/>
      <c r="UIF102" s="4"/>
      <c r="UIK102" s="7"/>
      <c r="UIL102" s="7"/>
      <c r="UIM102" s="7"/>
      <c r="UIN102" s="4"/>
      <c r="UIS102" s="7"/>
      <c r="UIT102" s="7"/>
      <c r="UIU102" s="7"/>
      <c r="UIV102" s="4"/>
      <c r="UJA102" s="7"/>
      <c r="UJB102" s="7"/>
      <c r="UJC102" s="7"/>
      <c r="UJD102" s="4"/>
      <c r="UJI102" s="7"/>
      <c r="UJJ102" s="7"/>
      <c r="UJK102" s="7"/>
      <c r="UJL102" s="4"/>
      <c r="UJQ102" s="7"/>
      <c r="UJR102" s="7"/>
      <c r="UJS102" s="7"/>
      <c r="UJT102" s="4"/>
      <c r="UJY102" s="7"/>
      <c r="UJZ102" s="7"/>
      <c r="UKA102" s="7"/>
      <c r="UKB102" s="4"/>
      <c r="UKG102" s="7"/>
      <c r="UKH102" s="7"/>
      <c r="UKI102" s="7"/>
      <c r="UKJ102" s="4"/>
      <c r="UKO102" s="7"/>
      <c r="UKP102" s="7"/>
      <c r="UKQ102" s="7"/>
      <c r="UKR102" s="4"/>
      <c r="UKW102" s="7"/>
      <c r="UKX102" s="7"/>
      <c r="UKY102" s="7"/>
      <c r="UKZ102" s="4"/>
      <c r="ULE102" s="7"/>
      <c r="ULF102" s="7"/>
      <c r="ULG102" s="7"/>
      <c r="ULH102" s="4"/>
      <c r="ULM102" s="7"/>
      <c r="ULN102" s="7"/>
      <c r="ULO102" s="7"/>
      <c r="ULP102" s="4"/>
      <c r="ULU102" s="7"/>
      <c r="ULV102" s="7"/>
      <c r="ULW102" s="7"/>
      <c r="ULX102" s="4"/>
      <c r="UMC102" s="7"/>
      <c r="UMD102" s="7"/>
      <c r="UME102" s="7"/>
      <c r="UMF102" s="4"/>
      <c r="UMK102" s="7"/>
      <c r="UML102" s="7"/>
      <c r="UMM102" s="7"/>
      <c r="UMN102" s="4"/>
      <c r="UMS102" s="7"/>
      <c r="UMT102" s="7"/>
      <c r="UMU102" s="7"/>
      <c r="UMV102" s="4"/>
      <c r="UNA102" s="7"/>
      <c r="UNB102" s="7"/>
      <c r="UNC102" s="7"/>
      <c r="UND102" s="4"/>
      <c r="UNI102" s="7"/>
      <c r="UNJ102" s="7"/>
      <c r="UNK102" s="7"/>
      <c r="UNL102" s="4"/>
      <c r="UNQ102" s="7"/>
      <c r="UNR102" s="7"/>
      <c r="UNS102" s="7"/>
      <c r="UNT102" s="4"/>
      <c r="UNY102" s="7"/>
      <c r="UNZ102" s="7"/>
      <c r="UOA102" s="7"/>
      <c r="UOB102" s="4"/>
      <c r="UOG102" s="7"/>
      <c r="UOH102" s="7"/>
      <c r="UOI102" s="7"/>
      <c r="UOJ102" s="4"/>
      <c r="UOO102" s="7"/>
      <c r="UOP102" s="7"/>
      <c r="UOQ102" s="7"/>
      <c r="UOR102" s="4"/>
      <c r="UOW102" s="7"/>
      <c r="UOX102" s="7"/>
      <c r="UOY102" s="7"/>
      <c r="UOZ102" s="4"/>
      <c r="UPE102" s="7"/>
      <c r="UPF102" s="7"/>
      <c r="UPG102" s="7"/>
      <c r="UPH102" s="4"/>
      <c r="UPM102" s="7"/>
      <c r="UPN102" s="7"/>
      <c r="UPO102" s="7"/>
      <c r="UPP102" s="4"/>
      <c r="UPU102" s="7"/>
      <c r="UPV102" s="7"/>
      <c r="UPW102" s="7"/>
      <c r="UPX102" s="4"/>
      <c r="UQC102" s="7"/>
      <c r="UQD102" s="7"/>
      <c r="UQE102" s="7"/>
      <c r="UQF102" s="4"/>
      <c r="UQK102" s="7"/>
      <c r="UQL102" s="7"/>
      <c r="UQM102" s="7"/>
      <c r="UQN102" s="4"/>
      <c r="UQS102" s="7"/>
      <c r="UQT102" s="7"/>
      <c r="UQU102" s="7"/>
      <c r="UQV102" s="4"/>
      <c r="URA102" s="7"/>
      <c r="URB102" s="7"/>
      <c r="URC102" s="7"/>
      <c r="URD102" s="4"/>
      <c r="URI102" s="7"/>
      <c r="URJ102" s="7"/>
      <c r="URK102" s="7"/>
      <c r="URL102" s="4"/>
      <c r="URQ102" s="7"/>
      <c r="URR102" s="7"/>
      <c r="URS102" s="7"/>
      <c r="URT102" s="4"/>
      <c r="URY102" s="7"/>
      <c r="URZ102" s="7"/>
      <c r="USA102" s="7"/>
      <c r="USB102" s="4"/>
      <c r="USG102" s="7"/>
      <c r="USH102" s="7"/>
      <c r="USI102" s="7"/>
      <c r="USJ102" s="4"/>
      <c r="USO102" s="7"/>
      <c r="USP102" s="7"/>
      <c r="USQ102" s="7"/>
      <c r="USR102" s="4"/>
      <c r="USW102" s="7"/>
      <c r="USX102" s="7"/>
      <c r="USY102" s="7"/>
      <c r="USZ102" s="4"/>
      <c r="UTE102" s="7"/>
      <c r="UTF102" s="7"/>
      <c r="UTG102" s="7"/>
      <c r="UTH102" s="4"/>
      <c r="UTM102" s="7"/>
      <c r="UTN102" s="7"/>
      <c r="UTO102" s="7"/>
      <c r="UTP102" s="4"/>
      <c r="UTU102" s="7"/>
      <c r="UTV102" s="7"/>
      <c r="UTW102" s="7"/>
      <c r="UTX102" s="4"/>
      <c r="UUC102" s="7"/>
      <c r="UUD102" s="7"/>
      <c r="UUE102" s="7"/>
      <c r="UUF102" s="4"/>
      <c r="UUK102" s="7"/>
      <c r="UUL102" s="7"/>
      <c r="UUM102" s="7"/>
      <c r="UUN102" s="4"/>
      <c r="UUS102" s="7"/>
      <c r="UUT102" s="7"/>
      <c r="UUU102" s="7"/>
      <c r="UUV102" s="4"/>
      <c r="UVA102" s="7"/>
      <c r="UVB102" s="7"/>
      <c r="UVC102" s="7"/>
      <c r="UVD102" s="4"/>
      <c r="UVI102" s="7"/>
      <c r="UVJ102" s="7"/>
      <c r="UVK102" s="7"/>
      <c r="UVL102" s="4"/>
      <c r="UVQ102" s="7"/>
      <c r="UVR102" s="7"/>
      <c r="UVS102" s="7"/>
      <c r="UVT102" s="4"/>
      <c r="UVY102" s="7"/>
      <c r="UVZ102" s="7"/>
      <c r="UWA102" s="7"/>
      <c r="UWB102" s="4"/>
      <c r="UWG102" s="7"/>
      <c r="UWH102" s="7"/>
      <c r="UWI102" s="7"/>
      <c r="UWJ102" s="4"/>
      <c r="UWO102" s="7"/>
      <c r="UWP102" s="7"/>
      <c r="UWQ102" s="7"/>
      <c r="UWR102" s="4"/>
      <c r="UWW102" s="7"/>
      <c r="UWX102" s="7"/>
      <c r="UWY102" s="7"/>
      <c r="UWZ102" s="4"/>
      <c r="UXE102" s="7"/>
      <c r="UXF102" s="7"/>
      <c r="UXG102" s="7"/>
      <c r="UXH102" s="4"/>
      <c r="UXM102" s="7"/>
      <c r="UXN102" s="7"/>
      <c r="UXO102" s="7"/>
      <c r="UXP102" s="4"/>
      <c r="UXU102" s="7"/>
      <c r="UXV102" s="7"/>
      <c r="UXW102" s="7"/>
      <c r="UXX102" s="4"/>
      <c r="UYC102" s="7"/>
      <c r="UYD102" s="7"/>
      <c r="UYE102" s="7"/>
      <c r="UYF102" s="4"/>
      <c r="UYK102" s="7"/>
      <c r="UYL102" s="7"/>
      <c r="UYM102" s="7"/>
      <c r="UYN102" s="4"/>
      <c r="UYS102" s="7"/>
      <c r="UYT102" s="7"/>
      <c r="UYU102" s="7"/>
      <c r="UYV102" s="4"/>
      <c r="UZA102" s="7"/>
      <c r="UZB102" s="7"/>
      <c r="UZC102" s="7"/>
      <c r="UZD102" s="4"/>
      <c r="UZI102" s="7"/>
      <c r="UZJ102" s="7"/>
      <c r="UZK102" s="7"/>
      <c r="UZL102" s="4"/>
      <c r="UZQ102" s="7"/>
      <c r="UZR102" s="7"/>
      <c r="UZS102" s="7"/>
      <c r="UZT102" s="4"/>
      <c r="UZY102" s="7"/>
      <c r="UZZ102" s="7"/>
      <c r="VAA102" s="7"/>
      <c r="VAB102" s="4"/>
      <c r="VAG102" s="7"/>
      <c r="VAH102" s="7"/>
      <c r="VAI102" s="7"/>
      <c r="VAJ102" s="4"/>
      <c r="VAO102" s="7"/>
      <c r="VAP102" s="7"/>
      <c r="VAQ102" s="7"/>
      <c r="VAR102" s="4"/>
      <c r="VAW102" s="7"/>
      <c r="VAX102" s="7"/>
      <c r="VAY102" s="7"/>
      <c r="VAZ102" s="4"/>
      <c r="VBE102" s="7"/>
      <c r="VBF102" s="7"/>
      <c r="VBG102" s="7"/>
      <c r="VBH102" s="4"/>
      <c r="VBM102" s="7"/>
      <c r="VBN102" s="7"/>
      <c r="VBO102" s="7"/>
      <c r="VBP102" s="4"/>
      <c r="VBU102" s="7"/>
      <c r="VBV102" s="7"/>
      <c r="VBW102" s="7"/>
      <c r="VBX102" s="4"/>
      <c r="VCC102" s="7"/>
      <c r="VCD102" s="7"/>
      <c r="VCE102" s="7"/>
      <c r="VCF102" s="4"/>
      <c r="VCK102" s="7"/>
      <c r="VCL102" s="7"/>
      <c r="VCM102" s="7"/>
      <c r="VCN102" s="4"/>
      <c r="VCS102" s="7"/>
      <c r="VCT102" s="7"/>
      <c r="VCU102" s="7"/>
      <c r="VCV102" s="4"/>
      <c r="VDA102" s="7"/>
      <c r="VDB102" s="7"/>
      <c r="VDC102" s="7"/>
      <c r="VDD102" s="4"/>
      <c r="VDI102" s="7"/>
      <c r="VDJ102" s="7"/>
      <c r="VDK102" s="7"/>
      <c r="VDL102" s="4"/>
      <c r="VDQ102" s="7"/>
      <c r="VDR102" s="7"/>
      <c r="VDS102" s="7"/>
      <c r="VDT102" s="4"/>
      <c r="VDY102" s="7"/>
      <c r="VDZ102" s="7"/>
      <c r="VEA102" s="7"/>
      <c r="VEB102" s="4"/>
      <c r="VEG102" s="7"/>
      <c r="VEH102" s="7"/>
      <c r="VEI102" s="7"/>
      <c r="VEJ102" s="4"/>
      <c r="VEO102" s="7"/>
      <c r="VEP102" s="7"/>
      <c r="VEQ102" s="7"/>
      <c r="VER102" s="4"/>
      <c r="VEW102" s="7"/>
      <c r="VEX102" s="7"/>
      <c r="VEY102" s="7"/>
      <c r="VEZ102" s="4"/>
      <c r="VFE102" s="7"/>
      <c r="VFF102" s="7"/>
      <c r="VFG102" s="7"/>
      <c r="VFH102" s="4"/>
      <c r="VFM102" s="7"/>
      <c r="VFN102" s="7"/>
      <c r="VFO102" s="7"/>
      <c r="VFP102" s="4"/>
      <c r="VFU102" s="7"/>
      <c r="VFV102" s="7"/>
      <c r="VFW102" s="7"/>
      <c r="VFX102" s="4"/>
      <c r="VGC102" s="7"/>
      <c r="VGD102" s="7"/>
      <c r="VGE102" s="7"/>
      <c r="VGF102" s="4"/>
      <c r="VGK102" s="7"/>
      <c r="VGL102" s="7"/>
      <c r="VGM102" s="7"/>
      <c r="VGN102" s="4"/>
      <c r="VGS102" s="7"/>
      <c r="VGT102" s="7"/>
      <c r="VGU102" s="7"/>
      <c r="VGV102" s="4"/>
      <c r="VHA102" s="7"/>
      <c r="VHB102" s="7"/>
      <c r="VHC102" s="7"/>
      <c r="VHD102" s="4"/>
      <c r="VHI102" s="7"/>
      <c r="VHJ102" s="7"/>
      <c r="VHK102" s="7"/>
      <c r="VHL102" s="4"/>
      <c r="VHQ102" s="7"/>
      <c r="VHR102" s="7"/>
      <c r="VHS102" s="7"/>
      <c r="VHT102" s="4"/>
      <c r="VHY102" s="7"/>
      <c r="VHZ102" s="7"/>
      <c r="VIA102" s="7"/>
      <c r="VIB102" s="4"/>
      <c r="VIG102" s="7"/>
      <c r="VIH102" s="7"/>
      <c r="VII102" s="7"/>
      <c r="VIJ102" s="4"/>
      <c r="VIO102" s="7"/>
      <c r="VIP102" s="7"/>
      <c r="VIQ102" s="7"/>
      <c r="VIR102" s="4"/>
      <c r="VIW102" s="7"/>
      <c r="VIX102" s="7"/>
      <c r="VIY102" s="7"/>
      <c r="VIZ102" s="4"/>
      <c r="VJE102" s="7"/>
      <c r="VJF102" s="7"/>
      <c r="VJG102" s="7"/>
      <c r="VJH102" s="4"/>
      <c r="VJM102" s="7"/>
      <c r="VJN102" s="7"/>
      <c r="VJO102" s="7"/>
      <c r="VJP102" s="4"/>
      <c r="VJU102" s="7"/>
      <c r="VJV102" s="7"/>
      <c r="VJW102" s="7"/>
      <c r="VJX102" s="4"/>
      <c r="VKC102" s="7"/>
      <c r="VKD102" s="7"/>
      <c r="VKE102" s="7"/>
      <c r="VKF102" s="4"/>
      <c r="VKK102" s="7"/>
      <c r="VKL102" s="7"/>
      <c r="VKM102" s="7"/>
      <c r="VKN102" s="4"/>
      <c r="VKS102" s="7"/>
      <c r="VKT102" s="7"/>
      <c r="VKU102" s="7"/>
      <c r="VKV102" s="4"/>
      <c r="VLA102" s="7"/>
      <c r="VLB102" s="7"/>
      <c r="VLC102" s="7"/>
      <c r="VLD102" s="4"/>
      <c r="VLI102" s="7"/>
      <c r="VLJ102" s="7"/>
      <c r="VLK102" s="7"/>
      <c r="VLL102" s="4"/>
      <c r="VLQ102" s="7"/>
      <c r="VLR102" s="7"/>
      <c r="VLS102" s="7"/>
      <c r="VLT102" s="4"/>
      <c r="VLY102" s="7"/>
      <c r="VLZ102" s="7"/>
      <c r="VMA102" s="7"/>
      <c r="VMB102" s="4"/>
      <c r="VMG102" s="7"/>
      <c r="VMH102" s="7"/>
      <c r="VMI102" s="7"/>
      <c r="VMJ102" s="4"/>
      <c r="VMO102" s="7"/>
      <c r="VMP102" s="7"/>
      <c r="VMQ102" s="7"/>
      <c r="VMR102" s="4"/>
      <c r="VMW102" s="7"/>
      <c r="VMX102" s="7"/>
      <c r="VMY102" s="7"/>
      <c r="VMZ102" s="4"/>
      <c r="VNE102" s="7"/>
      <c r="VNF102" s="7"/>
      <c r="VNG102" s="7"/>
      <c r="VNH102" s="4"/>
      <c r="VNM102" s="7"/>
      <c r="VNN102" s="7"/>
      <c r="VNO102" s="7"/>
      <c r="VNP102" s="4"/>
      <c r="VNU102" s="7"/>
      <c r="VNV102" s="7"/>
      <c r="VNW102" s="7"/>
      <c r="VNX102" s="4"/>
      <c r="VOC102" s="7"/>
      <c r="VOD102" s="7"/>
      <c r="VOE102" s="7"/>
      <c r="VOF102" s="4"/>
      <c r="VOK102" s="7"/>
      <c r="VOL102" s="7"/>
      <c r="VOM102" s="7"/>
      <c r="VON102" s="4"/>
      <c r="VOS102" s="7"/>
      <c r="VOT102" s="7"/>
      <c r="VOU102" s="7"/>
      <c r="VOV102" s="4"/>
      <c r="VPA102" s="7"/>
      <c r="VPB102" s="7"/>
      <c r="VPC102" s="7"/>
      <c r="VPD102" s="4"/>
      <c r="VPI102" s="7"/>
      <c r="VPJ102" s="7"/>
      <c r="VPK102" s="7"/>
      <c r="VPL102" s="4"/>
      <c r="VPQ102" s="7"/>
      <c r="VPR102" s="7"/>
      <c r="VPS102" s="7"/>
      <c r="VPT102" s="4"/>
      <c r="VPY102" s="7"/>
      <c r="VPZ102" s="7"/>
      <c r="VQA102" s="7"/>
      <c r="VQB102" s="4"/>
      <c r="VQG102" s="7"/>
      <c r="VQH102" s="7"/>
      <c r="VQI102" s="7"/>
      <c r="VQJ102" s="4"/>
      <c r="VQO102" s="7"/>
      <c r="VQP102" s="7"/>
      <c r="VQQ102" s="7"/>
      <c r="VQR102" s="4"/>
      <c r="VQW102" s="7"/>
      <c r="VQX102" s="7"/>
      <c r="VQY102" s="7"/>
      <c r="VQZ102" s="4"/>
      <c r="VRE102" s="7"/>
      <c r="VRF102" s="7"/>
      <c r="VRG102" s="7"/>
      <c r="VRH102" s="4"/>
      <c r="VRM102" s="7"/>
      <c r="VRN102" s="7"/>
      <c r="VRO102" s="7"/>
      <c r="VRP102" s="4"/>
      <c r="VRU102" s="7"/>
      <c r="VRV102" s="7"/>
      <c r="VRW102" s="7"/>
      <c r="VRX102" s="4"/>
      <c r="VSC102" s="7"/>
      <c r="VSD102" s="7"/>
      <c r="VSE102" s="7"/>
      <c r="VSF102" s="4"/>
      <c r="VSK102" s="7"/>
      <c r="VSL102" s="7"/>
      <c r="VSM102" s="7"/>
      <c r="VSN102" s="4"/>
      <c r="VSS102" s="7"/>
      <c r="VST102" s="7"/>
      <c r="VSU102" s="7"/>
      <c r="VSV102" s="4"/>
      <c r="VTA102" s="7"/>
      <c r="VTB102" s="7"/>
      <c r="VTC102" s="7"/>
      <c r="VTD102" s="4"/>
      <c r="VTI102" s="7"/>
      <c r="VTJ102" s="7"/>
      <c r="VTK102" s="7"/>
      <c r="VTL102" s="4"/>
      <c r="VTQ102" s="7"/>
      <c r="VTR102" s="7"/>
      <c r="VTS102" s="7"/>
      <c r="VTT102" s="4"/>
      <c r="VTY102" s="7"/>
      <c r="VTZ102" s="7"/>
      <c r="VUA102" s="7"/>
      <c r="VUB102" s="4"/>
      <c r="VUG102" s="7"/>
      <c r="VUH102" s="7"/>
      <c r="VUI102" s="7"/>
      <c r="VUJ102" s="4"/>
      <c r="VUO102" s="7"/>
      <c r="VUP102" s="7"/>
      <c r="VUQ102" s="7"/>
      <c r="VUR102" s="4"/>
      <c r="VUW102" s="7"/>
      <c r="VUX102" s="7"/>
      <c r="VUY102" s="7"/>
      <c r="VUZ102" s="4"/>
      <c r="VVE102" s="7"/>
      <c r="VVF102" s="7"/>
      <c r="VVG102" s="7"/>
      <c r="VVH102" s="4"/>
      <c r="VVM102" s="7"/>
      <c r="VVN102" s="7"/>
      <c r="VVO102" s="7"/>
      <c r="VVP102" s="4"/>
      <c r="VVU102" s="7"/>
      <c r="VVV102" s="7"/>
      <c r="VVW102" s="7"/>
      <c r="VVX102" s="4"/>
      <c r="VWC102" s="7"/>
      <c r="VWD102" s="7"/>
      <c r="VWE102" s="7"/>
      <c r="VWF102" s="4"/>
      <c r="VWK102" s="7"/>
      <c r="VWL102" s="7"/>
      <c r="VWM102" s="7"/>
      <c r="VWN102" s="4"/>
      <c r="VWS102" s="7"/>
      <c r="VWT102" s="7"/>
      <c r="VWU102" s="7"/>
      <c r="VWV102" s="4"/>
      <c r="VXA102" s="7"/>
      <c r="VXB102" s="7"/>
      <c r="VXC102" s="7"/>
      <c r="VXD102" s="4"/>
      <c r="VXI102" s="7"/>
      <c r="VXJ102" s="7"/>
      <c r="VXK102" s="7"/>
      <c r="VXL102" s="4"/>
      <c r="VXQ102" s="7"/>
      <c r="VXR102" s="7"/>
      <c r="VXS102" s="7"/>
      <c r="VXT102" s="4"/>
      <c r="VXY102" s="7"/>
      <c r="VXZ102" s="7"/>
      <c r="VYA102" s="7"/>
      <c r="VYB102" s="4"/>
      <c r="VYG102" s="7"/>
      <c r="VYH102" s="7"/>
      <c r="VYI102" s="7"/>
      <c r="VYJ102" s="4"/>
      <c r="VYO102" s="7"/>
      <c r="VYP102" s="7"/>
      <c r="VYQ102" s="7"/>
      <c r="VYR102" s="4"/>
      <c r="VYW102" s="7"/>
      <c r="VYX102" s="7"/>
      <c r="VYY102" s="7"/>
      <c r="VYZ102" s="4"/>
      <c r="VZE102" s="7"/>
      <c r="VZF102" s="7"/>
      <c r="VZG102" s="7"/>
      <c r="VZH102" s="4"/>
      <c r="VZM102" s="7"/>
      <c r="VZN102" s="7"/>
      <c r="VZO102" s="7"/>
      <c r="VZP102" s="4"/>
      <c r="VZU102" s="7"/>
      <c r="VZV102" s="7"/>
      <c r="VZW102" s="7"/>
      <c r="VZX102" s="4"/>
      <c r="WAC102" s="7"/>
      <c r="WAD102" s="7"/>
      <c r="WAE102" s="7"/>
      <c r="WAF102" s="4"/>
      <c r="WAK102" s="7"/>
      <c r="WAL102" s="7"/>
      <c r="WAM102" s="7"/>
      <c r="WAN102" s="4"/>
      <c r="WAS102" s="7"/>
      <c r="WAT102" s="7"/>
      <c r="WAU102" s="7"/>
      <c r="WAV102" s="4"/>
      <c r="WBA102" s="7"/>
      <c r="WBB102" s="7"/>
      <c r="WBC102" s="7"/>
      <c r="WBD102" s="4"/>
      <c r="WBI102" s="7"/>
      <c r="WBJ102" s="7"/>
      <c r="WBK102" s="7"/>
      <c r="WBL102" s="4"/>
      <c r="WBQ102" s="7"/>
      <c r="WBR102" s="7"/>
      <c r="WBS102" s="7"/>
      <c r="WBT102" s="4"/>
      <c r="WBY102" s="7"/>
      <c r="WBZ102" s="7"/>
      <c r="WCA102" s="7"/>
      <c r="WCB102" s="4"/>
      <c r="WCG102" s="7"/>
      <c r="WCH102" s="7"/>
      <c r="WCI102" s="7"/>
      <c r="WCJ102" s="4"/>
      <c r="WCO102" s="7"/>
      <c r="WCP102" s="7"/>
      <c r="WCQ102" s="7"/>
      <c r="WCR102" s="4"/>
      <c r="WCW102" s="7"/>
      <c r="WCX102" s="7"/>
      <c r="WCY102" s="7"/>
      <c r="WCZ102" s="4"/>
      <c r="WDE102" s="7"/>
      <c r="WDF102" s="7"/>
      <c r="WDG102" s="7"/>
      <c r="WDH102" s="4"/>
      <c r="WDM102" s="7"/>
      <c r="WDN102" s="7"/>
      <c r="WDO102" s="7"/>
      <c r="WDP102" s="4"/>
      <c r="WDU102" s="7"/>
      <c r="WDV102" s="7"/>
      <c r="WDW102" s="7"/>
      <c r="WDX102" s="4"/>
      <c r="WEC102" s="7"/>
      <c r="WED102" s="7"/>
      <c r="WEE102" s="7"/>
      <c r="WEF102" s="4"/>
      <c r="WEK102" s="7"/>
      <c r="WEL102" s="7"/>
      <c r="WEM102" s="7"/>
      <c r="WEN102" s="4"/>
      <c r="WES102" s="7"/>
      <c r="WET102" s="7"/>
      <c r="WEU102" s="7"/>
      <c r="WEV102" s="4"/>
      <c r="WFA102" s="7"/>
      <c r="WFB102" s="7"/>
      <c r="WFC102" s="7"/>
      <c r="WFD102" s="4"/>
      <c r="WFI102" s="7"/>
      <c r="WFJ102" s="7"/>
      <c r="WFK102" s="7"/>
      <c r="WFL102" s="4"/>
      <c r="WFQ102" s="7"/>
      <c r="WFR102" s="7"/>
      <c r="WFS102" s="7"/>
      <c r="WFT102" s="4"/>
      <c r="WFY102" s="7"/>
      <c r="WFZ102" s="7"/>
      <c r="WGA102" s="7"/>
      <c r="WGB102" s="4"/>
      <c r="WGG102" s="7"/>
      <c r="WGH102" s="7"/>
      <c r="WGI102" s="7"/>
      <c r="WGJ102" s="4"/>
      <c r="WGO102" s="7"/>
      <c r="WGP102" s="7"/>
      <c r="WGQ102" s="7"/>
      <c r="WGR102" s="4"/>
      <c r="WGW102" s="7"/>
      <c r="WGX102" s="7"/>
      <c r="WGY102" s="7"/>
      <c r="WGZ102" s="4"/>
      <c r="WHE102" s="7"/>
      <c r="WHF102" s="7"/>
      <c r="WHG102" s="7"/>
      <c r="WHH102" s="4"/>
      <c r="WHM102" s="7"/>
      <c r="WHN102" s="7"/>
      <c r="WHO102" s="7"/>
      <c r="WHP102" s="4"/>
      <c r="WHU102" s="7"/>
      <c r="WHV102" s="7"/>
      <c r="WHW102" s="7"/>
      <c r="WHX102" s="4"/>
      <c r="WIC102" s="7"/>
      <c r="WID102" s="7"/>
      <c r="WIE102" s="7"/>
      <c r="WIF102" s="4"/>
      <c r="WIK102" s="7"/>
      <c r="WIL102" s="7"/>
      <c r="WIM102" s="7"/>
      <c r="WIN102" s="4"/>
      <c r="WIS102" s="7"/>
      <c r="WIT102" s="7"/>
      <c r="WIU102" s="7"/>
      <c r="WIV102" s="4"/>
      <c r="WJA102" s="7"/>
      <c r="WJB102" s="7"/>
      <c r="WJC102" s="7"/>
      <c r="WJD102" s="4"/>
      <c r="WJI102" s="7"/>
      <c r="WJJ102" s="7"/>
      <c r="WJK102" s="7"/>
      <c r="WJL102" s="4"/>
      <c r="WJQ102" s="7"/>
      <c r="WJR102" s="7"/>
      <c r="WJS102" s="7"/>
      <c r="WJT102" s="4"/>
      <c r="WJY102" s="7"/>
      <c r="WJZ102" s="7"/>
      <c r="WKA102" s="7"/>
      <c r="WKB102" s="4"/>
      <c r="WKG102" s="7"/>
      <c r="WKH102" s="7"/>
      <c r="WKI102" s="7"/>
      <c r="WKJ102" s="4"/>
      <c r="WKO102" s="7"/>
      <c r="WKP102" s="7"/>
      <c r="WKQ102" s="7"/>
      <c r="WKR102" s="4"/>
      <c r="WKW102" s="7"/>
      <c r="WKX102" s="7"/>
      <c r="WKY102" s="7"/>
      <c r="WKZ102" s="4"/>
      <c r="WLE102" s="7"/>
      <c r="WLF102" s="7"/>
      <c r="WLG102" s="7"/>
      <c r="WLH102" s="4"/>
      <c r="WLM102" s="7"/>
      <c r="WLN102" s="7"/>
      <c r="WLO102" s="7"/>
      <c r="WLP102" s="4"/>
      <c r="WLU102" s="7"/>
      <c r="WLV102" s="7"/>
      <c r="WLW102" s="7"/>
      <c r="WLX102" s="4"/>
      <c r="WMC102" s="7"/>
      <c r="WMD102" s="7"/>
      <c r="WME102" s="7"/>
      <c r="WMF102" s="4"/>
      <c r="WMK102" s="7"/>
      <c r="WML102" s="7"/>
      <c r="WMM102" s="7"/>
      <c r="WMN102" s="4"/>
      <c r="WMS102" s="7"/>
      <c r="WMT102" s="7"/>
      <c r="WMU102" s="7"/>
      <c r="WMV102" s="4"/>
      <c r="WNA102" s="7"/>
      <c r="WNB102" s="7"/>
      <c r="WNC102" s="7"/>
      <c r="WND102" s="4"/>
      <c r="WNI102" s="7"/>
      <c r="WNJ102" s="7"/>
      <c r="WNK102" s="7"/>
      <c r="WNL102" s="4"/>
      <c r="WNQ102" s="7"/>
      <c r="WNR102" s="7"/>
      <c r="WNS102" s="7"/>
      <c r="WNT102" s="4"/>
      <c r="WNY102" s="7"/>
      <c r="WNZ102" s="7"/>
      <c r="WOA102" s="7"/>
      <c r="WOB102" s="4"/>
      <c r="WOG102" s="7"/>
      <c r="WOH102" s="7"/>
      <c r="WOI102" s="7"/>
      <c r="WOJ102" s="4"/>
      <c r="WOO102" s="7"/>
      <c r="WOP102" s="7"/>
      <c r="WOQ102" s="7"/>
      <c r="WOR102" s="4"/>
      <c r="WOW102" s="7"/>
      <c r="WOX102" s="7"/>
      <c r="WOY102" s="7"/>
      <c r="WOZ102" s="4"/>
      <c r="WPE102" s="7"/>
      <c r="WPF102" s="7"/>
      <c r="WPG102" s="7"/>
      <c r="WPH102" s="4"/>
      <c r="WPM102" s="7"/>
      <c r="WPN102" s="7"/>
      <c r="WPO102" s="7"/>
      <c r="WPP102" s="4"/>
      <c r="WPU102" s="7"/>
      <c r="WPV102" s="7"/>
      <c r="WPW102" s="7"/>
      <c r="WPX102" s="4"/>
      <c r="WQC102" s="7"/>
      <c r="WQD102" s="7"/>
      <c r="WQE102" s="7"/>
      <c r="WQF102" s="4"/>
      <c r="WQK102" s="7"/>
      <c r="WQL102" s="7"/>
      <c r="WQM102" s="7"/>
      <c r="WQN102" s="4"/>
      <c r="WQS102" s="7"/>
      <c r="WQT102" s="7"/>
      <c r="WQU102" s="7"/>
      <c r="WQV102" s="4"/>
      <c r="WRA102" s="7"/>
      <c r="WRB102" s="7"/>
      <c r="WRC102" s="7"/>
      <c r="WRD102" s="4"/>
      <c r="WRI102" s="7"/>
      <c r="WRJ102" s="7"/>
      <c r="WRK102" s="7"/>
      <c r="WRL102" s="4"/>
      <c r="WRQ102" s="7"/>
      <c r="WRR102" s="7"/>
      <c r="WRS102" s="7"/>
      <c r="WRT102" s="4"/>
      <c r="WRY102" s="7"/>
      <c r="WRZ102" s="7"/>
      <c r="WSA102" s="7"/>
      <c r="WSB102" s="4"/>
      <c r="WSG102" s="7"/>
      <c r="WSH102" s="7"/>
      <c r="WSI102" s="7"/>
      <c r="WSJ102" s="4"/>
      <c r="WSO102" s="7"/>
      <c r="WSP102" s="7"/>
      <c r="WSQ102" s="7"/>
      <c r="WSR102" s="4"/>
      <c r="WSW102" s="7"/>
      <c r="WSX102" s="7"/>
      <c r="WSY102" s="7"/>
      <c r="WSZ102" s="4"/>
      <c r="WTE102" s="7"/>
      <c r="WTF102" s="7"/>
      <c r="WTG102" s="7"/>
      <c r="WTH102" s="4"/>
      <c r="WTM102" s="7"/>
      <c r="WTN102" s="7"/>
      <c r="WTO102" s="7"/>
      <c r="WTP102" s="4"/>
      <c r="WTU102" s="7"/>
      <c r="WTV102" s="7"/>
      <c r="WTW102" s="7"/>
      <c r="WTX102" s="4"/>
      <c r="WUC102" s="7"/>
      <c r="WUD102" s="7"/>
      <c r="WUE102" s="7"/>
      <c r="WUF102" s="4"/>
      <c r="WUK102" s="7"/>
      <c r="WUL102" s="7"/>
      <c r="WUM102" s="7"/>
      <c r="WUN102" s="4"/>
      <c r="WUS102" s="7"/>
      <c r="WUT102" s="7"/>
      <c r="WUU102" s="7"/>
      <c r="WUV102" s="4"/>
      <c r="WVA102" s="7"/>
      <c r="WVB102" s="7"/>
      <c r="WVC102" s="7"/>
      <c r="WVD102" s="4"/>
      <c r="WVI102" s="7"/>
      <c r="WVJ102" s="7"/>
      <c r="WVK102" s="7"/>
      <c r="WVL102" s="4"/>
      <c r="WVQ102" s="7"/>
      <c r="WVR102" s="7"/>
      <c r="WVS102" s="7"/>
      <c r="WVT102" s="4"/>
      <c r="WVY102" s="7"/>
      <c r="WVZ102" s="7"/>
      <c r="WWA102" s="7"/>
      <c r="WWB102" s="4"/>
      <c r="WWG102" s="7"/>
      <c r="WWH102" s="7"/>
      <c r="WWI102" s="7"/>
      <c r="WWJ102" s="4"/>
      <c r="WWO102" s="7"/>
      <c r="WWP102" s="7"/>
      <c r="WWQ102" s="7"/>
      <c r="WWR102" s="4"/>
      <c r="WWW102" s="7"/>
      <c r="WWX102" s="7"/>
      <c r="WWY102" s="7"/>
      <c r="WWZ102" s="4"/>
      <c r="WXE102" s="7"/>
      <c r="WXF102" s="7"/>
      <c r="WXG102" s="7"/>
      <c r="WXH102" s="4"/>
      <c r="WXM102" s="7"/>
      <c r="WXN102" s="7"/>
      <c r="WXO102" s="7"/>
      <c r="WXP102" s="4"/>
      <c r="WXU102" s="7"/>
      <c r="WXV102" s="7"/>
      <c r="WXW102" s="7"/>
      <c r="WXX102" s="4"/>
      <c r="WYC102" s="7"/>
      <c r="WYD102" s="7"/>
      <c r="WYE102" s="7"/>
      <c r="WYF102" s="4"/>
      <c r="WYK102" s="7"/>
      <c r="WYL102" s="7"/>
      <c r="WYM102" s="7"/>
      <c r="WYN102" s="4"/>
      <c r="WYS102" s="7"/>
      <c r="WYT102" s="7"/>
      <c r="WYU102" s="7"/>
      <c r="WYV102" s="4"/>
      <c r="WZA102" s="7"/>
      <c r="WZB102" s="7"/>
      <c r="WZC102" s="7"/>
      <c r="WZD102" s="4"/>
      <c r="WZI102" s="7"/>
      <c r="WZJ102" s="7"/>
      <c r="WZK102" s="7"/>
      <c r="WZL102" s="4"/>
      <c r="WZQ102" s="7"/>
      <c r="WZR102" s="7"/>
      <c r="WZS102" s="7"/>
      <c r="WZT102" s="4"/>
      <c r="WZY102" s="7"/>
      <c r="WZZ102" s="7"/>
      <c r="XAA102" s="7"/>
      <c r="XAB102" s="4"/>
      <c r="XAG102" s="7"/>
      <c r="XAH102" s="7"/>
      <c r="XAI102" s="7"/>
      <c r="XAJ102" s="4"/>
      <c r="XAO102" s="7"/>
      <c r="XAP102" s="7"/>
      <c r="XAQ102" s="7"/>
      <c r="XAR102" s="4"/>
      <c r="XAW102" s="7"/>
      <c r="XAX102" s="7"/>
      <c r="XAY102" s="7"/>
      <c r="XAZ102" s="4"/>
      <c r="XBE102" s="7"/>
      <c r="XBF102" s="7"/>
      <c r="XBG102" s="7"/>
      <c r="XBH102" s="4"/>
      <c r="XBM102" s="7"/>
      <c r="XBN102" s="7"/>
      <c r="XBO102" s="7"/>
      <c r="XBP102" s="4"/>
      <c r="XBU102" s="7"/>
      <c r="XBV102" s="7"/>
      <c r="XBW102" s="7"/>
      <c r="XBX102" s="4"/>
      <c r="XCC102" s="7"/>
      <c r="XCD102" s="7"/>
      <c r="XCE102" s="7"/>
      <c r="XCF102" s="4"/>
      <c r="XCK102" s="7"/>
      <c r="XCL102" s="7"/>
      <c r="XCM102" s="7"/>
      <c r="XCN102" s="4"/>
      <c r="XCS102" s="7"/>
      <c r="XCT102" s="7"/>
      <c r="XCU102" s="7"/>
      <c r="XCV102" s="4"/>
      <c r="XDA102" s="7"/>
      <c r="XDB102" s="7"/>
      <c r="XDC102" s="7"/>
      <c r="XDD102" s="4"/>
      <c r="XDI102" s="7"/>
      <c r="XDJ102" s="7"/>
      <c r="XDK102" s="7"/>
      <c r="XDL102" s="4"/>
      <c r="XDQ102" s="7"/>
      <c r="XDR102" s="7"/>
      <c r="XDS102" s="7"/>
      <c r="XDT102" s="4"/>
      <c r="XDY102" s="7"/>
      <c r="XDZ102" s="7"/>
      <c r="XEA102" s="7"/>
      <c r="XEB102" s="4"/>
      <c r="XEG102" s="7"/>
      <c r="XEH102" s="7"/>
      <c r="XEI102" s="7"/>
      <c r="XEJ102" s="4"/>
      <c r="XEO102" s="7"/>
      <c r="XEP102" s="7"/>
      <c r="XEQ102" s="7"/>
      <c r="XER102" s="4"/>
      <c r="XEW102" s="7"/>
      <c r="XEX102" s="7"/>
      <c r="XEY102" s="7"/>
      <c r="XEZ102" s="4"/>
    </row>
    <row r="103" spans="1:1020 1025:2044 2049:3068 3073:4092 4097:5116 5121:6140 6145:7164 7169:8188 8193:9212 9217:10236 10241:11260 11265:12284 12289:13308 13313:14332 14337:15356 15361:16380" s="11" customFormat="1" hidden="1" x14ac:dyDescent="0.3">
      <c r="A103" s="33" t="s">
        <v>153</v>
      </c>
      <c r="B103" s="7">
        <v>0.03</v>
      </c>
      <c r="C103" s="7">
        <v>0.23</v>
      </c>
      <c r="D103" s="7">
        <v>0.17</v>
      </c>
      <c r="E103" s="4" t="s">
        <v>27</v>
      </c>
      <c r="F103" s="11">
        <f t="shared" si="15"/>
        <v>3</v>
      </c>
      <c r="G103" s="11">
        <f t="shared" si="16"/>
        <v>23</v>
      </c>
      <c r="H103" s="11">
        <f t="shared" si="17"/>
        <v>17</v>
      </c>
      <c r="I103" s="11">
        <f t="shared" si="18"/>
        <v>200</v>
      </c>
      <c r="J103" s="11">
        <f t="shared" ref="J103" si="206">IFERROR(IF(B103&gt;1,B103,B103*100),"-")</f>
        <v>3</v>
      </c>
      <c r="K103" s="11">
        <f t="shared" ref="K103" si="207">IFERROR(IF(C103&gt;1,C103,C103*100),"-")</f>
        <v>23</v>
      </c>
      <c r="L103" s="11">
        <f t="shared" ref="L103" si="208">IFERROR(IF(D103&gt;1,D103,D103*100),"-")</f>
        <v>17</v>
      </c>
      <c r="M103" s="11">
        <f t="shared" ref="M103" si="209">IFERROR(IF(VALUE(E103)&lt;1,E103*1000,E103),"-")</f>
        <v>200</v>
      </c>
      <c r="Q103" s="7"/>
      <c r="R103" s="7"/>
      <c r="S103" s="7"/>
      <c r="T103" s="4"/>
      <c r="Y103" s="7"/>
      <c r="Z103" s="7"/>
      <c r="AA103" s="7"/>
      <c r="AB103" s="4"/>
      <c r="AG103" s="7"/>
      <c r="AH103" s="7"/>
      <c r="AI103" s="7"/>
      <c r="AJ103" s="4"/>
      <c r="AO103" s="7"/>
      <c r="AP103" s="7"/>
      <c r="AQ103" s="7"/>
      <c r="AR103" s="4"/>
      <c r="AW103" s="7"/>
      <c r="AX103" s="7"/>
      <c r="AY103" s="7"/>
      <c r="AZ103" s="4"/>
      <c r="BE103" s="7"/>
      <c r="BF103" s="7"/>
      <c r="BG103" s="7"/>
      <c r="BH103" s="4"/>
      <c r="BM103" s="7"/>
      <c r="BN103" s="7"/>
      <c r="BO103" s="7"/>
      <c r="BP103" s="4"/>
      <c r="BU103" s="7"/>
      <c r="BV103" s="7"/>
      <c r="BW103" s="7"/>
      <c r="BX103" s="4"/>
      <c r="CC103" s="7"/>
      <c r="CD103" s="7"/>
      <c r="CE103" s="7"/>
      <c r="CF103" s="4"/>
      <c r="CK103" s="7"/>
      <c r="CL103" s="7"/>
      <c r="CM103" s="7"/>
      <c r="CN103" s="4"/>
      <c r="CS103" s="7"/>
      <c r="CT103" s="7"/>
      <c r="CU103" s="7"/>
      <c r="CV103" s="4"/>
      <c r="DA103" s="7"/>
      <c r="DB103" s="7"/>
      <c r="DC103" s="7"/>
      <c r="DD103" s="4"/>
      <c r="DI103" s="7"/>
      <c r="DJ103" s="7"/>
      <c r="DK103" s="7"/>
      <c r="DL103" s="4"/>
      <c r="DQ103" s="7"/>
      <c r="DR103" s="7"/>
      <c r="DS103" s="7"/>
      <c r="DT103" s="4"/>
      <c r="DY103" s="7"/>
      <c r="DZ103" s="7"/>
      <c r="EA103" s="7"/>
      <c r="EB103" s="4"/>
      <c r="EG103" s="7"/>
      <c r="EH103" s="7"/>
      <c r="EI103" s="7"/>
      <c r="EJ103" s="4"/>
      <c r="EO103" s="7"/>
      <c r="EP103" s="7"/>
      <c r="EQ103" s="7"/>
      <c r="ER103" s="4"/>
      <c r="EW103" s="7"/>
      <c r="EX103" s="7"/>
      <c r="EY103" s="7"/>
      <c r="EZ103" s="4"/>
      <c r="FE103" s="7"/>
      <c r="FF103" s="7"/>
      <c r="FG103" s="7"/>
      <c r="FH103" s="4"/>
      <c r="FM103" s="7"/>
      <c r="FN103" s="7"/>
      <c r="FO103" s="7"/>
      <c r="FP103" s="4"/>
      <c r="FU103" s="7"/>
      <c r="FV103" s="7"/>
      <c r="FW103" s="7"/>
      <c r="FX103" s="4"/>
      <c r="GC103" s="7"/>
      <c r="GD103" s="7"/>
      <c r="GE103" s="7"/>
      <c r="GF103" s="4"/>
      <c r="GK103" s="7"/>
      <c r="GL103" s="7"/>
      <c r="GM103" s="7"/>
      <c r="GN103" s="4"/>
      <c r="GS103" s="7"/>
      <c r="GT103" s="7"/>
      <c r="GU103" s="7"/>
      <c r="GV103" s="4"/>
      <c r="HA103" s="7"/>
      <c r="HB103" s="7"/>
      <c r="HC103" s="7"/>
      <c r="HD103" s="4"/>
      <c r="HI103" s="7"/>
      <c r="HJ103" s="7"/>
      <c r="HK103" s="7"/>
      <c r="HL103" s="4"/>
      <c r="HQ103" s="7"/>
      <c r="HR103" s="7"/>
      <c r="HS103" s="7"/>
      <c r="HT103" s="4"/>
      <c r="HY103" s="7"/>
      <c r="HZ103" s="7"/>
      <c r="IA103" s="7"/>
      <c r="IB103" s="4"/>
      <c r="IG103" s="7"/>
      <c r="IH103" s="7"/>
      <c r="II103" s="7"/>
      <c r="IJ103" s="4"/>
      <c r="IO103" s="7"/>
      <c r="IP103" s="7"/>
      <c r="IQ103" s="7"/>
      <c r="IR103" s="4"/>
      <c r="IW103" s="7"/>
      <c r="IX103" s="7"/>
      <c r="IY103" s="7"/>
      <c r="IZ103" s="4"/>
      <c r="JE103" s="7"/>
      <c r="JF103" s="7"/>
      <c r="JG103" s="7"/>
      <c r="JH103" s="4"/>
      <c r="JM103" s="7"/>
      <c r="JN103" s="7"/>
      <c r="JO103" s="7"/>
      <c r="JP103" s="4"/>
      <c r="JU103" s="7"/>
      <c r="JV103" s="7"/>
      <c r="JW103" s="7"/>
      <c r="JX103" s="4"/>
      <c r="KC103" s="7"/>
      <c r="KD103" s="7"/>
      <c r="KE103" s="7"/>
      <c r="KF103" s="4"/>
      <c r="KK103" s="7"/>
      <c r="KL103" s="7"/>
      <c r="KM103" s="7"/>
      <c r="KN103" s="4"/>
      <c r="KS103" s="7"/>
      <c r="KT103" s="7"/>
      <c r="KU103" s="7"/>
      <c r="KV103" s="4"/>
      <c r="LA103" s="7"/>
      <c r="LB103" s="7"/>
      <c r="LC103" s="7"/>
      <c r="LD103" s="4"/>
      <c r="LI103" s="7"/>
      <c r="LJ103" s="7"/>
      <c r="LK103" s="7"/>
      <c r="LL103" s="4"/>
      <c r="LQ103" s="7"/>
      <c r="LR103" s="7"/>
      <c r="LS103" s="7"/>
      <c r="LT103" s="4"/>
      <c r="LY103" s="7"/>
      <c r="LZ103" s="7"/>
      <c r="MA103" s="7"/>
      <c r="MB103" s="4"/>
      <c r="MG103" s="7"/>
      <c r="MH103" s="7"/>
      <c r="MI103" s="7"/>
      <c r="MJ103" s="4"/>
      <c r="MO103" s="7"/>
      <c r="MP103" s="7"/>
      <c r="MQ103" s="7"/>
      <c r="MR103" s="4"/>
      <c r="MW103" s="7"/>
      <c r="MX103" s="7"/>
      <c r="MY103" s="7"/>
      <c r="MZ103" s="4"/>
      <c r="NE103" s="7"/>
      <c r="NF103" s="7"/>
      <c r="NG103" s="7"/>
      <c r="NH103" s="4"/>
      <c r="NM103" s="7"/>
      <c r="NN103" s="7"/>
      <c r="NO103" s="7"/>
      <c r="NP103" s="4"/>
      <c r="NU103" s="7"/>
      <c r="NV103" s="7"/>
      <c r="NW103" s="7"/>
      <c r="NX103" s="4"/>
      <c r="OC103" s="7"/>
      <c r="OD103" s="7"/>
      <c r="OE103" s="7"/>
      <c r="OF103" s="4"/>
      <c r="OK103" s="7"/>
      <c r="OL103" s="7"/>
      <c r="OM103" s="7"/>
      <c r="ON103" s="4"/>
      <c r="OS103" s="7"/>
      <c r="OT103" s="7"/>
      <c r="OU103" s="7"/>
      <c r="OV103" s="4"/>
      <c r="PA103" s="7"/>
      <c r="PB103" s="7"/>
      <c r="PC103" s="7"/>
      <c r="PD103" s="4"/>
      <c r="PI103" s="7"/>
      <c r="PJ103" s="7"/>
      <c r="PK103" s="7"/>
      <c r="PL103" s="4"/>
      <c r="PQ103" s="7"/>
      <c r="PR103" s="7"/>
      <c r="PS103" s="7"/>
      <c r="PT103" s="4"/>
      <c r="PY103" s="7"/>
      <c r="PZ103" s="7"/>
      <c r="QA103" s="7"/>
      <c r="QB103" s="4"/>
      <c r="QG103" s="7"/>
      <c r="QH103" s="7"/>
      <c r="QI103" s="7"/>
      <c r="QJ103" s="4"/>
      <c r="QO103" s="7"/>
      <c r="QP103" s="7"/>
      <c r="QQ103" s="7"/>
      <c r="QR103" s="4"/>
      <c r="QW103" s="7"/>
      <c r="QX103" s="7"/>
      <c r="QY103" s="7"/>
      <c r="QZ103" s="4"/>
      <c r="RE103" s="7"/>
      <c r="RF103" s="7"/>
      <c r="RG103" s="7"/>
      <c r="RH103" s="4"/>
      <c r="RM103" s="7"/>
      <c r="RN103" s="7"/>
      <c r="RO103" s="7"/>
      <c r="RP103" s="4"/>
      <c r="RU103" s="7"/>
      <c r="RV103" s="7"/>
      <c r="RW103" s="7"/>
      <c r="RX103" s="4"/>
      <c r="SC103" s="7"/>
      <c r="SD103" s="7"/>
      <c r="SE103" s="7"/>
      <c r="SF103" s="4"/>
      <c r="SK103" s="7"/>
      <c r="SL103" s="7"/>
      <c r="SM103" s="7"/>
      <c r="SN103" s="4"/>
      <c r="SS103" s="7"/>
      <c r="ST103" s="7"/>
      <c r="SU103" s="7"/>
      <c r="SV103" s="4"/>
      <c r="TA103" s="7"/>
      <c r="TB103" s="7"/>
      <c r="TC103" s="7"/>
      <c r="TD103" s="4"/>
      <c r="TI103" s="7"/>
      <c r="TJ103" s="7"/>
      <c r="TK103" s="7"/>
      <c r="TL103" s="4"/>
      <c r="TQ103" s="7"/>
      <c r="TR103" s="7"/>
      <c r="TS103" s="7"/>
      <c r="TT103" s="4"/>
      <c r="TY103" s="7"/>
      <c r="TZ103" s="7"/>
      <c r="UA103" s="7"/>
      <c r="UB103" s="4"/>
      <c r="UG103" s="7"/>
      <c r="UH103" s="7"/>
      <c r="UI103" s="7"/>
      <c r="UJ103" s="4"/>
      <c r="UO103" s="7"/>
      <c r="UP103" s="7"/>
      <c r="UQ103" s="7"/>
      <c r="UR103" s="4"/>
      <c r="UW103" s="7"/>
      <c r="UX103" s="7"/>
      <c r="UY103" s="7"/>
      <c r="UZ103" s="4"/>
      <c r="VE103" s="7"/>
      <c r="VF103" s="7"/>
      <c r="VG103" s="7"/>
      <c r="VH103" s="4"/>
      <c r="VM103" s="7"/>
      <c r="VN103" s="7"/>
      <c r="VO103" s="7"/>
      <c r="VP103" s="4"/>
      <c r="VU103" s="7"/>
      <c r="VV103" s="7"/>
      <c r="VW103" s="7"/>
      <c r="VX103" s="4"/>
      <c r="WC103" s="7"/>
      <c r="WD103" s="7"/>
      <c r="WE103" s="7"/>
      <c r="WF103" s="4"/>
      <c r="WK103" s="7"/>
      <c r="WL103" s="7"/>
      <c r="WM103" s="7"/>
      <c r="WN103" s="4"/>
      <c r="WS103" s="7"/>
      <c r="WT103" s="7"/>
      <c r="WU103" s="7"/>
      <c r="WV103" s="4"/>
      <c r="XA103" s="7"/>
      <c r="XB103" s="7"/>
      <c r="XC103" s="7"/>
      <c r="XD103" s="4"/>
      <c r="XI103" s="7"/>
      <c r="XJ103" s="7"/>
      <c r="XK103" s="7"/>
      <c r="XL103" s="4"/>
      <c r="XQ103" s="7"/>
      <c r="XR103" s="7"/>
      <c r="XS103" s="7"/>
      <c r="XT103" s="4"/>
      <c r="XY103" s="7"/>
      <c r="XZ103" s="7"/>
      <c r="YA103" s="7"/>
      <c r="YB103" s="4"/>
      <c r="YG103" s="7"/>
      <c r="YH103" s="7"/>
      <c r="YI103" s="7"/>
      <c r="YJ103" s="4"/>
      <c r="YO103" s="7"/>
      <c r="YP103" s="7"/>
      <c r="YQ103" s="7"/>
      <c r="YR103" s="4"/>
      <c r="YW103" s="7"/>
      <c r="YX103" s="7"/>
      <c r="YY103" s="7"/>
      <c r="YZ103" s="4"/>
      <c r="ZE103" s="7"/>
      <c r="ZF103" s="7"/>
      <c r="ZG103" s="7"/>
      <c r="ZH103" s="4"/>
      <c r="ZM103" s="7"/>
      <c r="ZN103" s="7"/>
      <c r="ZO103" s="7"/>
      <c r="ZP103" s="4"/>
      <c r="ZU103" s="7"/>
      <c r="ZV103" s="7"/>
      <c r="ZW103" s="7"/>
      <c r="ZX103" s="4"/>
      <c r="AAC103" s="7"/>
      <c r="AAD103" s="7"/>
      <c r="AAE103" s="7"/>
      <c r="AAF103" s="4"/>
      <c r="AAK103" s="7"/>
      <c r="AAL103" s="7"/>
      <c r="AAM103" s="7"/>
      <c r="AAN103" s="4"/>
      <c r="AAS103" s="7"/>
      <c r="AAT103" s="7"/>
      <c r="AAU103" s="7"/>
      <c r="AAV103" s="4"/>
      <c r="ABA103" s="7"/>
      <c r="ABB103" s="7"/>
      <c r="ABC103" s="7"/>
      <c r="ABD103" s="4"/>
      <c r="ABI103" s="7"/>
      <c r="ABJ103" s="7"/>
      <c r="ABK103" s="7"/>
      <c r="ABL103" s="4"/>
      <c r="ABQ103" s="7"/>
      <c r="ABR103" s="7"/>
      <c r="ABS103" s="7"/>
      <c r="ABT103" s="4"/>
      <c r="ABY103" s="7"/>
      <c r="ABZ103" s="7"/>
      <c r="ACA103" s="7"/>
      <c r="ACB103" s="4"/>
      <c r="ACG103" s="7"/>
      <c r="ACH103" s="7"/>
      <c r="ACI103" s="7"/>
      <c r="ACJ103" s="4"/>
      <c r="ACO103" s="7"/>
      <c r="ACP103" s="7"/>
      <c r="ACQ103" s="7"/>
      <c r="ACR103" s="4"/>
      <c r="ACW103" s="7"/>
      <c r="ACX103" s="7"/>
      <c r="ACY103" s="7"/>
      <c r="ACZ103" s="4"/>
      <c r="ADE103" s="7"/>
      <c r="ADF103" s="7"/>
      <c r="ADG103" s="7"/>
      <c r="ADH103" s="4"/>
      <c r="ADM103" s="7"/>
      <c r="ADN103" s="7"/>
      <c r="ADO103" s="7"/>
      <c r="ADP103" s="4"/>
      <c r="ADU103" s="7"/>
      <c r="ADV103" s="7"/>
      <c r="ADW103" s="7"/>
      <c r="ADX103" s="4"/>
      <c r="AEC103" s="7"/>
      <c r="AED103" s="7"/>
      <c r="AEE103" s="7"/>
      <c r="AEF103" s="4"/>
      <c r="AEK103" s="7"/>
      <c r="AEL103" s="7"/>
      <c r="AEM103" s="7"/>
      <c r="AEN103" s="4"/>
      <c r="AES103" s="7"/>
      <c r="AET103" s="7"/>
      <c r="AEU103" s="7"/>
      <c r="AEV103" s="4"/>
      <c r="AFA103" s="7"/>
      <c r="AFB103" s="7"/>
      <c r="AFC103" s="7"/>
      <c r="AFD103" s="4"/>
      <c r="AFI103" s="7"/>
      <c r="AFJ103" s="7"/>
      <c r="AFK103" s="7"/>
      <c r="AFL103" s="4"/>
      <c r="AFQ103" s="7"/>
      <c r="AFR103" s="7"/>
      <c r="AFS103" s="7"/>
      <c r="AFT103" s="4"/>
      <c r="AFY103" s="7"/>
      <c r="AFZ103" s="7"/>
      <c r="AGA103" s="7"/>
      <c r="AGB103" s="4"/>
      <c r="AGG103" s="7"/>
      <c r="AGH103" s="7"/>
      <c r="AGI103" s="7"/>
      <c r="AGJ103" s="4"/>
      <c r="AGO103" s="7"/>
      <c r="AGP103" s="7"/>
      <c r="AGQ103" s="7"/>
      <c r="AGR103" s="4"/>
      <c r="AGW103" s="7"/>
      <c r="AGX103" s="7"/>
      <c r="AGY103" s="7"/>
      <c r="AGZ103" s="4"/>
      <c r="AHE103" s="7"/>
      <c r="AHF103" s="7"/>
      <c r="AHG103" s="7"/>
      <c r="AHH103" s="4"/>
      <c r="AHM103" s="7"/>
      <c r="AHN103" s="7"/>
      <c r="AHO103" s="7"/>
      <c r="AHP103" s="4"/>
      <c r="AHU103" s="7"/>
      <c r="AHV103" s="7"/>
      <c r="AHW103" s="7"/>
      <c r="AHX103" s="4"/>
      <c r="AIC103" s="7"/>
      <c r="AID103" s="7"/>
      <c r="AIE103" s="7"/>
      <c r="AIF103" s="4"/>
      <c r="AIK103" s="7"/>
      <c r="AIL103" s="7"/>
      <c r="AIM103" s="7"/>
      <c r="AIN103" s="4"/>
      <c r="AIS103" s="7"/>
      <c r="AIT103" s="7"/>
      <c r="AIU103" s="7"/>
      <c r="AIV103" s="4"/>
      <c r="AJA103" s="7"/>
      <c r="AJB103" s="7"/>
      <c r="AJC103" s="7"/>
      <c r="AJD103" s="4"/>
      <c r="AJI103" s="7"/>
      <c r="AJJ103" s="7"/>
      <c r="AJK103" s="7"/>
      <c r="AJL103" s="4"/>
      <c r="AJQ103" s="7"/>
      <c r="AJR103" s="7"/>
      <c r="AJS103" s="7"/>
      <c r="AJT103" s="4"/>
      <c r="AJY103" s="7"/>
      <c r="AJZ103" s="7"/>
      <c r="AKA103" s="7"/>
      <c r="AKB103" s="4"/>
      <c r="AKG103" s="7"/>
      <c r="AKH103" s="7"/>
      <c r="AKI103" s="7"/>
      <c r="AKJ103" s="4"/>
      <c r="AKO103" s="7"/>
      <c r="AKP103" s="7"/>
      <c r="AKQ103" s="7"/>
      <c r="AKR103" s="4"/>
      <c r="AKW103" s="7"/>
      <c r="AKX103" s="7"/>
      <c r="AKY103" s="7"/>
      <c r="AKZ103" s="4"/>
      <c r="ALE103" s="7"/>
      <c r="ALF103" s="7"/>
      <c r="ALG103" s="7"/>
      <c r="ALH103" s="4"/>
      <c r="ALM103" s="7"/>
      <c r="ALN103" s="7"/>
      <c r="ALO103" s="7"/>
      <c r="ALP103" s="4"/>
      <c r="ALU103" s="7"/>
      <c r="ALV103" s="7"/>
      <c r="ALW103" s="7"/>
      <c r="ALX103" s="4"/>
      <c r="AMC103" s="7"/>
      <c r="AMD103" s="7"/>
      <c r="AME103" s="7"/>
      <c r="AMF103" s="4"/>
      <c r="AMK103" s="7"/>
      <c r="AML103" s="7"/>
      <c r="AMM103" s="7"/>
      <c r="AMN103" s="4"/>
      <c r="AMS103" s="7"/>
      <c r="AMT103" s="7"/>
      <c r="AMU103" s="7"/>
      <c r="AMV103" s="4"/>
      <c r="ANA103" s="7"/>
      <c r="ANB103" s="7"/>
      <c r="ANC103" s="7"/>
      <c r="AND103" s="4"/>
      <c r="ANI103" s="7"/>
      <c r="ANJ103" s="7"/>
      <c r="ANK103" s="7"/>
      <c r="ANL103" s="4"/>
      <c r="ANQ103" s="7"/>
      <c r="ANR103" s="7"/>
      <c r="ANS103" s="7"/>
      <c r="ANT103" s="4"/>
      <c r="ANY103" s="7"/>
      <c r="ANZ103" s="7"/>
      <c r="AOA103" s="7"/>
      <c r="AOB103" s="4"/>
      <c r="AOG103" s="7"/>
      <c r="AOH103" s="7"/>
      <c r="AOI103" s="7"/>
      <c r="AOJ103" s="4"/>
      <c r="AOO103" s="7"/>
      <c r="AOP103" s="7"/>
      <c r="AOQ103" s="7"/>
      <c r="AOR103" s="4"/>
      <c r="AOW103" s="7"/>
      <c r="AOX103" s="7"/>
      <c r="AOY103" s="7"/>
      <c r="AOZ103" s="4"/>
      <c r="APE103" s="7"/>
      <c r="APF103" s="7"/>
      <c r="APG103" s="7"/>
      <c r="APH103" s="4"/>
      <c r="APM103" s="7"/>
      <c r="APN103" s="7"/>
      <c r="APO103" s="7"/>
      <c r="APP103" s="4"/>
      <c r="APU103" s="7"/>
      <c r="APV103" s="7"/>
      <c r="APW103" s="7"/>
      <c r="APX103" s="4"/>
      <c r="AQC103" s="7"/>
      <c r="AQD103" s="7"/>
      <c r="AQE103" s="7"/>
      <c r="AQF103" s="4"/>
      <c r="AQK103" s="7"/>
      <c r="AQL103" s="7"/>
      <c r="AQM103" s="7"/>
      <c r="AQN103" s="4"/>
      <c r="AQS103" s="7"/>
      <c r="AQT103" s="7"/>
      <c r="AQU103" s="7"/>
      <c r="AQV103" s="4"/>
      <c r="ARA103" s="7"/>
      <c r="ARB103" s="7"/>
      <c r="ARC103" s="7"/>
      <c r="ARD103" s="4"/>
      <c r="ARI103" s="7"/>
      <c r="ARJ103" s="7"/>
      <c r="ARK103" s="7"/>
      <c r="ARL103" s="4"/>
      <c r="ARQ103" s="7"/>
      <c r="ARR103" s="7"/>
      <c r="ARS103" s="7"/>
      <c r="ART103" s="4"/>
      <c r="ARY103" s="7"/>
      <c r="ARZ103" s="7"/>
      <c r="ASA103" s="7"/>
      <c r="ASB103" s="4"/>
      <c r="ASG103" s="7"/>
      <c r="ASH103" s="7"/>
      <c r="ASI103" s="7"/>
      <c r="ASJ103" s="4"/>
      <c r="ASO103" s="7"/>
      <c r="ASP103" s="7"/>
      <c r="ASQ103" s="7"/>
      <c r="ASR103" s="4"/>
      <c r="ASW103" s="7"/>
      <c r="ASX103" s="7"/>
      <c r="ASY103" s="7"/>
      <c r="ASZ103" s="4"/>
      <c r="ATE103" s="7"/>
      <c r="ATF103" s="7"/>
      <c r="ATG103" s="7"/>
      <c r="ATH103" s="4"/>
      <c r="ATM103" s="7"/>
      <c r="ATN103" s="7"/>
      <c r="ATO103" s="7"/>
      <c r="ATP103" s="4"/>
      <c r="ATU103" s="7"/>
      <c r="ATV103" s="7"/>
      <c r="ATW103" s="7"/>
      <c r="ATX103" s="4"/>
      <c r="AUC103" s="7"/>
      <c r="AUD103" s="7"/>
      <c r="AUE103" s="7"/>
      <c r="AUF103" s="4"/>
      <c r="AUK103" s="7"/>
      <c r="AUL103" s="7"/>
      <c r="AUM103" s="7"/>
      <c r="AUN103" s="4"/>
      <c r="AUS103" s="7"/>
      <c r="AUT103" s="7"/>
      <c r="AUU103" s="7"/>
      <c r="AUV103" s="4"/>
      <c r="AVA103" s="7"/>
      <c r="AVB103" s="7"/>
      <c r="AVC103" s="7"/>
      <c r="AVD103" s="4"/>
      <c r="AVI103" s="7"/>
      <c r="AVJ103" s="7"/>
      <c r="AVK103" s="7"/>
      <c r="AVL103" s="4"/>
      <c r="AVQ103" s="7"/>
      <c r="AVR103" s="7"/>
      <c r="AVS103" s="7"/>
      <c r="AVT103" s="4"/>
      <c r="AVY103" s="7"/>
      <c r="AVZ103" s="7"/>
      <c r="AWA103" s="7"/>
      <c r="AWB103" s="4"/>
      <c r="AWG103" s="7"/>
      <c r="AWH103" s="7"/>
      <c r="AWI103" s="7"/>
      <c r="AWJ103" s="4"/>
      <c r="AWO103" s="7"/>
      <c r="AWP103" s="7"/>
      <c r="AWQ103" s="7"/>
      <c r="AWR103" s="4"/>
      <c r="AWW103" s="7"/>
      <c r="AWX103" s="7"/>
      <c r="AWY103" s="7"/>
      <c r="AWZ103" s="4"/>
      <c r="AXE103" s="7"/>
      <c r="AXF103" s="7"/>
      <c r="AXG103" s="7"/>
      <c r="AXH103" s="4"/>
      <c r="AXM103" s="7"/>
      <c r="AXN103" s="7"/>
      <c r="AXO103" s="7"/>
      <c r="AXP103" s="4"/>
      <c r="AXU103" s="7"/>
      <c r="AXV103" s="7"/>
      <c r="AXW103" s="7"/>
      <c r="AXX103" s="4"/>
      <c r="AYC103" s="7"/>
      <c r="AYD103" s="7"/>
      <c r="AYE103" s="7"/>
      <c r="AYF103" s="4"/>
      <c r="AYK103" s="7"/>
      <c r="AYL103" s="7"/>
      <c r="AYM103" s="7"/>
      <c r="AYN103" s="4"/>
      <c r="AYS103" s="7"/>
      <c r="AYT103" s="7"/>
      <c r="AYU103" s="7"/>
      <c r="AYV103" s="4"/>
      <c r="AZA103" s="7"/>
      <c r="AZB103" s="7"/>
      <c r="AZC103" s="7"/>
      <c r="AZD103" s="4"/>
      <c r="AZI103" s="7"/>
      <c r="AZJ103" s="7"/>
      <c r="AZK103" s="7"/>
      <c r="AZL103" s="4"/>
      <c r="AZQ103" s="7"/>
      <c r="AZR103" s="7"/>
      <c r="AZS103" s="7"/>
      <c r="AZT103" s="4"/>
      <c r="AZY103" s="7"/>
      <c r="AZZ103" s="7"/>
      <c r="BAA103" s="7"/>
      <c r="BAB103" s="4"/>
      <c r="BAG103" s="7"/>
      <c r="BAH103" s="7"/>
      <c r="BAI103" s="7"/>
      <c r="BAJ103" s="4"/>
      <c r="BAO103" s="7"/>
      <c r="BAP103" s="7"/>
      <c r="BAQ103" s="7"/>
      <c r="BAR103" s="4"/>
      <c r="BAW103" s="7"/>
      <c r="BAX103" s="7"/>
      <c r="BAY103" s="7"/>
      <c r="BAZ103" s="4"/>
      <c r="BBE103" s="7"/>
      <c r="BBF103" s="7"/>
      <c r="BBG103" s="7"/>
      <c r="BBH103" s="4"/>
      <c r="BBM103" s="7"/>
      <c r="BBN103" s="7"/>
      <c r="BBO103" s="7"/>
      <c r="BBP103" s="4"/>
      <c r="BBU103" s="7"/>
      <c r="BBV103" s="7"/>
      <c r="BBW103" s="7"/>
      <c r="BBX103" s="4"/>
      <c r="BCC103" s="7"/>
      <c r="BCD103" s="7"/>
      <c r="BCE103" s="7"/>
      <c r="BCF103" s="4"/>
      <c r="BCK103" s="7"/>
      <c r="BCL103" s="7"/>
      <c r="BCM103" s="7"/>
      <c r="BCN103" s="4"/>
      <c r="BCS103" s="7"/>
      <c r="BCT103" s="7"/>
      <c r="BCU103" s="7"/>
      <c r="BCV103" s="4"/>
      <c r="BDA103" s="7"/>
      <c r="BDB103" s="7"/>
      <c r="BDC103" s="7"/>
      <c r="BDD103" s="4"/>
      <c r="BDI103" s="7"/>
      <c r="BDJ103" s="7"/>
      <c r="BDK103" s="7"/>
      <c r="BDL103" s="4"/>
      <c r="BDQ103" s="7"/>
      <c r="BDR103" s="7"/>
      <c r="BDS103" s="7"/>
      <c r="BDT103" s="4"/>
      <c r="BDY103" s="7"/>
      <c r="BDZ103" s="7"/>
      <c r="BEA103" s="7"/>
      <c r="BEB103" s="4"/>
      <c r="BEG103" s="7"/>
      <c r="BEH103" s="7"/>
      <c r="BEI103" s="7"/>
      <c r="BEJ103" s="4"/>
      <c r="BEO103" s="7"/>
      <c r="BEP103" s="7"/>
      <c r="BEQ103" s="7"/>
      <c r="BER103" s="4"/>
      <c r="BEW103" s="7"/>
      <c r="BEX103" s="7"/>
      <c r="BEY103" s="7"/>
      <c r="BEZ103" s="4"/>
      <c r="BFE103" s="7"/>
      <c r="BFF103" s="7"/>
      <c r="BFG103" s="7"/>
      <c r="BFH103" s="4"/>
      <c r="BFM103" s="7"/>
      <c r="BFN103" s="7"/>
      <c r="BFO103" s="7"/>
      <c r="BFP103" s="4"/>
      <c r="BFU103" s="7"/>
      <c r="BFV103" s="7"/>
      <c r="BFW103" s="7"/>
      <c r="BFX103" s="4"/>
      <c r="BGC103" s="7"/>
      <c r="BGD103" s="7"/>
      <c r="BGE103" s="7"/>
      <c r="BGF103" s="4"/>
      <c r="BGK103" s="7"/>
      <c r="BGL103" s="7"/>
      <c r="BGM103" s="7"/>
      <c r="BGN103" s="4"/>
      <c r="BGS103" s="7"/>
      <c r="BGT103" s="7"/>
      <c r="BGU103" s="7"/>
      <c r="BGV103" s="4"/>
      <c r="BHA103" s="7"/>
      <c r="BHB103" s="7"/>
      <c r="BHC103" s="7"/>
      <c r="BHD103" s="4"/>
      <c r="BHI103" s="7"/>
      <c r="BHJ103" s="7"/>
      <c r="BHK103" s="7"/>
      <c r="BHL103" s="4"/>
      <c r="BHQ103" s="7"/>
      <c r="BHR103" s="7"/>
      <c r="BHS103" s="7"/>
      <c r="BHT103" s="4"/>
      <c r="BHY103" s="7"/>
      <c r="BHZ103" s="7"/>
      <c r="BIA103" s="7"/>
      <c r="BIB103" s="4"/>
      <c r="BIG103" s="7"/>
      <c r="BIH103" s="7"/>
      <c r="BII103" s="7"/>
      <c r="BIJ103" s="4"/>
      <c r="BIO103" s="7"/>
      <c r="BIP103" s="7"/>
      <c r="BIQ103" s="7"/>
      <c r="BIR103" s="4"/>
      <c r="BIW103" s="7"/>
      <c r="BIX103" s="7"/>
      <c r="BIY103" s="7"/>
      <c r="BIZ103" s="4"/>
      <c r="BJE103" s="7"/>
      <c r="BJF103" s="7"/>
      <c r="BJG103" s="7"/>
      <c r="BJH103" s="4"/>
      <c r="BJM103" s="7"/>
      <c r="BJN103" s="7"/>
      <c r="BJO103" s="7"/>
      <c r="BJP103" s="4"/>
      <c r="BJU103" s="7"/>
      <c r="BJV103" s="7"/>
      <c r="BJW103" s="7"/>
      <c r="BJX103" s="4"/>
      <c r="BKC103" s="7"/>
      <c r="BKD103" s="7"/>
      <c r="BKE103" s="7"/>
      <c r="BKF103" s="4"/>
      <c r="BKK103" s="7"/>
      <c r="BKL103" s="7"/>
      <c r="BKM103" s="7"/>
      <c r="BKN103" s="4"/>
      <c r="BKS103" s="7"/>
      <c r="BKT103" s="7"/>
      <c r="BKU103" s="7"/>
      <c r="BKV103" s="4"/>
      <c r="BLA103" s="7"/>
      <c r="BLB103" s="7"/>
      <c r="BLC103" s="7"/>
      <c r="BLD103" s="4"/>
      <c r="BLI103" s="7"/>
      <c r="BLJ103" s="7"/>
      <c r="BLK103" s="7"/>
      <c r="BLL103" s="4"/>
      <c r="BLQ103" s="7"/>
      <c r="BLR103" s="7"/>
      <c r="BLS103" s="7"/>
      <c r="BLT103" s="4"/>
      <c r="BLY103" s="7"/>
      <c r="BLZ103" s="7"/>
      <c r="BMA103" s="7"/>
      <c r="BMB103" s="4"/>
      <c r="BMG103" s="7"/>
      <c r="BMH103" s="7"/>
      <c r="BMI103" s="7"/>
      <c r="BMJ103" s="4"/>
      <c r="BMO103" s="7"/>
      <c r="BMP103" s="7"/>
      <c r="BMQ103" s="7"/>
      <c r="BMR103" s="4"/>
      <c r="BMW103" s="7"/>
      <c r="BMX103" s="7"/>
      <c r="BMY103" s="7"/>
      <c r="BMZ103" s="4"/>
      <c r="BNE103" s="7"/>
      <c r="BNF103" s="7"/>
      <c r="BNG103" s="7"/>
      <c r="BNH103" s="4"/>
      <c r="BNM103" s="7"/>
      <c r="BNN103" s="7"/>
      <c r="BNO103" s="7"/>
      <c r="BNP103" s="4"/>
      <c r="BNU103" s="7"/>
      <c r="BNV103" s="7"/>
      <c r="BNW103" s="7"/>
      <c r="BNX103" s="4"/>
      <c r="BOC103" s="7"/>
      <c r="BOD103" s="7"/>
      <c r="BOE103" s="7"/>
      <c r="BOF103" s="4"/>
      <c r="BOK103" s="7"/>
      <c r="BOL103" s="7"/>
      <c r="BOM103" s="7"/>
      <c r="BON103" s="4"/>
      <c r="BOS103" s="7"/>
      <c r="BOT103" s="7"/>
      <c r="BOU103" s="7"/>
      <c r="BOV103" s="4"/>
      <c r="BPA103" s="7"/>
      <c r="BPB103" s="7"/>
      <c r="BPC103" s="7"/>
      <c r="BPD103" s="4"/>
      <c r="BPI103" s="7"/>
      <c r="BPJ103" s="7"/>
      <c r="BPK103" s="7"/>
      <c r="BPL103" s="4"/>
      <c r="BPQ103" s="7"/>
      <c r="BPR103" s="7"/>
      <c r="BPS103" s="7"/>
      <c r="BPT103" s="4"/>
      <c r="BPY103" s="7"/>
      <c r="BPZ103" s="7"/>
      <c r="BQA103" s="7"/>
      <c r="BQB103" s="4"/>
      <c r="BQG103" s="7"/>
      <c r="BQH103" s="7"/>
      <c r="BQI103" s="7"/>
      <c r="BQJ103" s="4"/>
      <c r="BQO103" s="7"/>
      <c r="BQP103" s="7"/>
      <c r="BQQ103" s="7"/>
      <c r="BQR103" s="4"/>
      <c r="BQW103" s="7"/>
      <c r="BQX103" s="7"/>
      <c r="BQY103" s="7"/>
      <c r="BQZ103" s="4"/>
      <c r="BRE103" s="7"/>
      <c r="BRF103" s="7"/>
      <c r="BRG103" s="7"/>
      <c r="BRH103" s="4"/>
      <c r="BRM103" s="7"/>
      <c r="BRN103" s="7"/>
      <c r="BRO103" s="7"/>
      <c r="BRP103" s="4"/>
      <c r="BRU103" s="7"/>
      <c r="BRV103" s="7"/>
      <c r="BRW103" s="7"/>
      <c r="BRX103" s="4"/>
      <c r="BSC103" s="7"/>
      <c r="BSD103" s="7"/>
      <c r="BSE103" s="7"/>
      <c r="BSF103" s="4"/>
      <c r="BSK103" s="7"/>
      <c r="BSL103" s="7"/>
      <c r="BSM103" s="7"/>
      <c r="BSN103" s="4"/>
      <c r="BSS103" s="7"/>
      <c r="BST103" s="7"/>
      <c r="BSU103" s="7"/>
      <c r="BSV103" s="4"/>
      <c r="BTA103" s="7"/>
      <c r="BTB103" s="7"/>
      <c r="BTC103" s="7"/>
      <c r="BTD103" s="4"/>
      <c r="BTI103" s="7"/>
      <c r="BTJ103" s="7"/>
      <c r="BTK103" s="7"/>
      <c r="BTL103" s="4"/>
      <c r="BTQ103" s="7"/>
      <c r="BTR103" s="7"/>
      <c r="BTS103" s="7"/>
      <c r="BTT103" s="4"/>
      <c r="BTY103" s="7"/>
      <c r="BTZ103" s="7"/>
      <c r="BUA103" s="7"/>
      <c r="BUB103" s="4"/>
      <c r="BUG103" s="7"/>
      <c r="BUH103" s="7"/>
      <c r="BUI103" s="7"/>
      <c r="BUJ103" s="4"/>
      <c r="BUO103" s="7"/>
      <c r="BUP103" s="7"/>
      <c r="BUQ103" s="7"/>
      <c r="BUR103" s="4"/>
      <c r="BUW103" s="7"/>
      <c r="BUX103" s="7"/>
      <c r="BUY103" s="7"/>
      <c r="BUZ103" s="4"/>
      <c r="BVE103" s="7"/>
      <c r="BVF103" s="7"/>
      <c r="BVG103" s="7"/>
      <c r="BVH103" s="4"/>
      <c r="BVM103" s="7"/>
      <c r="BVN103" s="7"/>
      <c r="BVO103" s="7"/>
      <c r="BVP103" s="4"/>
      <c r="BVU103" s="7"/>
      <c r="BVV103" s="7"/>
      <c r="BVW103" s="7"/>
      <c r="BVX103" s="4"/>
      <c r="BWC103" s="7"/>
      <c r="BWD103" s="7"/>
      <c r="BWE103" s="7"/>
      <c r="BWF103" s="4"/>
      <c r="BWK103" s="7"/>
      <c r="BWL103" s="7"/>
      <c r="BWM103" s="7"/>
      <c r="BWN103" s="4"/>
      <c r="BWS103" s="7"/>
      <c r="BWT103" s="7"/>
      <c r="BWU103" s="7"/>
      <c r="BWV103" s="4"/>
      <c r="BXA103" s="7"/>
      <c r="BXB103" s="7"/>
      <c r="BXC103" s="7"/>
      <c r="BXD103" s="4"/>
      <c r="BXI103" s="7"/>
      <c r="BXJ103" s="7"/>
      <c r="BXK103" s="7"/>
      <c r="BXL103" s="4"/>
      <c r="BXQ103" s="7"/>
      <c r="BXR103" s="7"/>
      <c r="BXS103" s="7"/>
      <c r="BXT103" s="4"/>
      <c r="BXY103" s="7"/>
      <c r="BXZ103" s="7"/>
      <c r="BYA103" s="7"/>
      <c r="BYB103" s="4"/>
      <c r="BYG103" s="7"/>
      <c r="BYH103" s="7"/>
      <c r="BYI103" s="7"/>
      <c r="BYJ103" s="4"/>
      <c r="BYO103" s="7"/>
      <c r="BYP103" s="7"/>
      <c r="BYQ103" s="7"/>
      <c r="BYR103" s="4"/>
      <c r="BYW103" s="7"/>
      <c r="BYX103" s="7"/>
      <c r="BYY103" s="7"/>
      <c r="BYZ103" s="4"/>
      <c r="BZE103" s="7"/>
      <c r="BZF103" s="7"/>
      <c r="BZG103" s="7"/>
      <c r="BZH103" s="4"/>
      <c r="BZM103" s="7"/>
      <c r="BZN103" s="7"/>
      <c r="BZO103" s="7"/>
      <c r="BZP103" s="4"/>
      <c r="BZU103" s="7"/>
      <c r="BZV103" s="7"/>
      <c r="BZW103" s="7"/>
      <c r="BZX103" s="4"/>
      <c r="CAC103" s="7"/>
      <c r="CAD103" s="7"/>
      <c r="CAE103" s="7"/>
      <c r="CAF103" s="4"/>
      <c r="CAK103" s="7"/>
      <c r="CAL103" s="7"/>
      <c r="CAM103" s="7"/>
      <c r="CAN103" s="4"/>
      <c r="CAS103" s="7"/>
      <c r="CAT103" s="7"/>
      <c r="CAU103" s="7"/>
      <c r="CAV103" s="4"/>
      <c r="CBA103" s="7"/>
      <c r="CBB103" s="7"/>
      <c r="CBC103" s="7"/>
      <c r="CBD103" s="4"/>
      <c r="CBI103" s="7"/>
      <c r="CBJ103" s="7"/>
      <c r="CBK103" s="7"/>
      <c r="CBL103" s="4"/>
      <c r="CBQ103" s="7"/>
      <c r="CBR103" s="7"/>
      <c r="CBS103" s="7"/>
      <c r="CBT103" s="4"/>
      <c r="CBY103" s="7"/>
      <c r="CBZ103" s="7"/>
      <c r="CCA103" s="7"/>
      <c r="CCB103" s="4"/>
      <c r="CCG103" s="7"/>
      <c r="CCH103" s="7"/>
      <c r="CCI103" s="7"/>
      <c r="CCJ103" s="4"/>
      <c r="CCO103" s="7"/>
      <c r="CCP103" s="7"/>
      <c r="CCQ103" s="7"/>
      <c r="CCR103" s="4"/>
      <c r="CCW103" s="7"/>
      <c r="CCX103" s="7"/>
      <c r="CCY103" s="7"/>
      <c r="CCZ103" s="4"/>
      <c r="CDE103" s="7"/>
      <c r="CDF103" s="7"/>
      <c r="CDG103" s="7"/>
      <c r="CDH103" s="4"/>
      <c r="CDM103" s="7"/>
      <c r="CDN103" s="7"/>
      <c r="CDO103" s="7"/>
      <c r="CDP103" s="4"/>
      <c r="CDU103" s="7"/>
      <c r="CDV103" s="7"/>
      <c r="CDW103" s="7"/>
      <c r="CDX103" s="4"/>
      <c r="CEC103" s="7"/>
      <c r="CED103" s="7"/>
      <c r="CEE103" s="7"/>
      <c r="CEF103" s="4"/>
      <c r="CEK103" s="7"/>
      <c r="CEL103" s="7"/>
      <c r="CEM103" s="7"/>
      <c r="CEN103" s="4"/>
      <c r="CES103" s="7"/>
      <c r="CET103" s="7"/>
      <c r="CEU103" s="7"/>
      <c r="CEV103" s="4"/>
      <c r="CFA103" s="7"/>
      <c r="CFB103" s="7"/>
      <c r="CFC103" s="7"/>
      <c r="CFD103" s="4"/>
      <c r="CFI103" s="7"/>
      <c r="CFJ103" s="7"/>
      <c r="CFK103" s="7"/>
      <c r="CFL103" s="4"/>
      <c r="CFQ103" s="7"/>
      <c r="CFR103" s="7"/>
      <c r="CFS103" s="7"/>
      <c r="CFT103" s="4"/>
      <c r="CFY103" s="7"/>
      <c r="CFZ103" s="7"/>
      <c r="CGA103" s="7"/>
      <c r="CGB103" s="4"/>
      <c r="CGG103" s="7"/>
      <c r="CGH103" s="7"/>
      <c r="CGI103" s="7"/>
      <c r="CGJ103" s="4"/>
      <c r="CGO103" s="7"/>
      <c r="CGP103" s="7"/>
      <c r="CGQ103" s="7"/>
      <c r="CGR103" s="4"/>
      <c r="CGW103" s="7"/>
      <c r="CGX103" s="7"/>
      <c r="CGY103" s="7"/>
      <c r="CGZ103" s="4"/>
      <c r="CHE103" s="7"/>
      <c r="CHF103" s="7"/>
      <c r="CHG103" s="7"/>
      <c r="CHH103" s="4"/>
      <c r="CHM103" s="7"/>
      <c r="CHN103" s="7"/>
      <c r="CHO103" s="7"/>
      <c r="CHP103" s="4"/>
      <c r="CHU103" s="7"/>
      <c r="CHV103" s="7"/>
      <c r="CHW103" s="7"/>
      <c r="CHX103" s="4"/>
      <c r="CIC103" s="7"/>
      <c r="CID103" s="7"/>
      <c r="CIE103" s="7"/>
      <c r="CIF103" s="4"/>
      <c r="CIK103" s="7"/>
      <c r="CIL103" s="7"/>
      <c r="CIM103" s="7"/>
      <c r="CIN103" s="4"/>
      <c r="CIS103" s="7"/>
      <c r="CIT103" s="7"/>
      <c r="CIU103" s="7"/>
      <c r="CIV103" s="4"/>
      <c r="CJA103" s="7"/>
      <c r="CJB103" s="7"/>
      <c r="CJC103" s="7"/>
      <c r="CJD103" s="4"/>
      <c r="CJI103" s="7"/>
      <c r="CJJ103" s="7"/>
      <c r="CJK103" s="7"/>
      <c r="CJL103" s="4"/>
      <c r="CJQ103" s="7"/>
      <c r="CJR103" s="7"/>
      <c r="CJS103" s="7"/>
      <c r="CJT103" s="4"/>
      <c r="CJY103" s="7"/>
      <c r="CJZ103" s="7"/>
      <c r="CKA103" s="7"/>
      <c r="CKB103" s="4"/>
      <c r="CKG103" s="7"/>
      <c r="CKH103" s="7"/>
      <c r="CKI103" s="7"/>
      <c r="CKJ103" s="4"/>
      <c r="CKO103" s="7"/>
      <c r="CKP103" s="7"/>
      <c r="CKQ103" s="7"/>
      <c r="CKR103" s="4"/>
      <c r="CKW103" s="7"/>
      <c r="CKX103" s="7"/>
      <c r="CKY103" s="7"/>
      <c r="CKZ103" s="4"/>
      <c r="CLE103" s="7"/>
      <c r="CLF103" s="7"/>
      <c r="CLG103" s="7"/>
      <c r="CLH103" s="4"/>
      <c r="CLM103" s="7"/>
      <c r="CLN103" s="7"/>
      <c r="CLO103" s="7"/>
      <c r="CLP103" s="4"/>
      <c r="CLU103" s="7"/>
      <c r="CLV103" s="7"/>
      <c r="CLW103" s="7"/>
      <c r="CLX103" s="4"/>
      <c r="CMC103" s="7"/>
      <c r="CMD103" s="7"/>
      <c r="CME103" s="7"/>
      <c r="CMF103" s="4"/>
      <c r="CMK103" s="7"/>
      <c r="CML103" s="7"/>
      <c r="CMM103" s="7"/>
      <c r="CMN103" s="4"/>
      <c r="CMS103" s="7"/>
      <c r="CMT103" s="7"/>
      <c r="CMU103" s="7"/>
      <c r="CMV103" s="4"/>
      <c r="CNA103" s="7"/>
      <c r="CNB103" s="7"/>
      <c r="CNC103" s="7"/>
      <c r="CND103" s="4"/>
      <c r="CNI103" s="7"/>
      <c r="CNJ103" s="7"/>
      <c r="CNK103" s="7"/>
      <c r="CNL103" s="4"/>
      <c r="CNQ103" s="7"/>
      <c r="CNR103" s="7"/>
      <c r="CNS103" s="7"/>
      <c r="CNT103" s="4"/>
      <c r="CNY103" s="7"/>
      <c r="CNZ103" s="7"/>
      <c r="COA103" s="7"/>
      <c r="COB103" s="4"/>
      <c r="COG103" s="7"/>
      <c r="COH103" s="7"/>
      <c r="COI103" s="7"/>
      <c r="COJ103" s="4"/>
      <c r="COO103" s="7"/>
      <c r="COP103" s="7"/>
      <c r="COQ103" s="7"/>
      <c r="COR103" s="4"/>
      <c r="COW103" s="7"/>
      <c r="COX103" s="7"/>
      <c r="COY103" s="7"/>
      <c r="COZ103" s="4"/>
      <c r="CPE103" s="7"/>
      <c r="CPF103" s="7"/>
      <c r="CPG103" s="7"/>
      <c r="CPH103" s="4"/>
      <c r="CPM103" s="7"/>
      <c r="CPN103" s="7"/>
      <c r="CPO103" s="7"/>
      <c r="CPP103" s="4"/>
      <c r="CPU103" s="7"/>
      <c r="CPV103" s="7"/>
      <c r="CPW103" s="7"/>
      <c r="CPX103" s="4"/>
      <c r="CQC103" s="7"/>
      <c r="CQD103" s="7"/>
      <c r="CQE103" s="7"/>
      <c r="CQF103" s="4"/>
      <c r="CQK103" s="7"/>
      <c r="CQL103" s="7"/>
      <c r="CQM103" s="7"/>
      <c r="CQN103" s="4"/>
      <c r="CQS103" s="7"/>
      <c r="CQT103" s="7"/>
      <c r="CQU103" s="7"/>
      <c r="CQV103" s="4"/>
      <c r="CRA103" s="7"/>
      <c r="CRB103" s="7"/>
      <c r="CRC103" s="7"/>
      <c r="CRD103" s="4"/>
      <c r="CRI103" s="7"/>
      <c r="CRJ103" s="7"/>
      <c r="CRK103" s="7"/>
      <c r="CRL103" s="4"/>
      <c r="CRQ103" s="7"/>
      <c r="CRR103" s="7"/>
      <c r="CRS103" s="7"/>
      <c r="CRT103" s="4"/>
      <c r="CRY103" s="7"/>
      <c r="CRZ103" s="7"/>
      <c r="CSA103" s="7"/>
      <c r="CSB103" s="4"/>
      <c r="CSG103" s="7"/>
      <c r="CSH103" s="7"/>
      <c r="CSI103" s="7"/>
      <c r="CSJ103" s="4"/>
      <c r="CSO103" s="7"/>
      <c r="CSP103" s="7"/>
      <c r="CSQ103" s="7"/>
      <c r="CSR103" s="4"/>
      <c r="CSW103" s="7"/>
      <c r="CSX103" s="7"/>
      <c r="CSY103" s="7"/>
      <c r="CSZ103" s="4"/>
      <c r="CTE103" s="7"/>
      <c r="CTF103" s="7"/>
      <c r="CTG103" s="7"/>
      <c r="CTH103" s="4"/>
      <c r="CTM103" s="7"/>
      <c r="CTN103" s="7"/>
      <c r="CTO103" s="7"/>
      <c r="CTP103" s="4"/>
      <c r="CTU103" s="7"/>
      <c r="CTV103" s="7"/>
      <c r="CTW103" s="7"/>
      <c r="CTX103" s="4"/>
      <c r="CUC103" s="7"/>
      <c r="CUD103" s="7"/>
      <c r="CUE103" s="7"/>
      <c r="CUF103" s="4"/>
      <c r="CUK103" s="7"/>
      <c r="CUL103" s="7"/>
      <c r="CUM103" s="7"/>
      <c r="CUN103" s="4"/>
      <c r="CUS103" s="7"/>
      <c r="CUT103" s="7"/>
      <c r="CUU103" s="7"/>
      <c r="CUV103" s="4"/>
      <c r="CVA103" s="7"/>
      <c r="CVB103" s="7"/>
      <c r="CVC103" s="7"/>
      <c r="CVD103" s="4"/>
      <c r="CVI103" s="7"/>
      <c r="CVJ103" s="7"/>
      <c r="CVK103" s="7"/>
      <c r="CVL103" s="4"/>
      <c r="CVQ103" s="7"/>
      <c r="CVR103" s="7"/>
      <c r="CVS103" s="7"/>
      <c r="CVT103" s="4"/>
      <c r="CVY103" s="7"/>
      <c r="CVZ103" s="7"/>
      <c r="CWA103" s="7"/>
      <c r="CWB103" s="4"/>
      <c r="CWG103" s="7"/>
      <c r="CWH103" s="7"/>
      <c r="CWI103" s="7"/>
      <c r="CWJ103" s="4"/>
      <c r="CWO103" s="7"/>
      <c r="CWP103" s="7"/>
      <c r="CWQ103" s="7"/>
      <c r="CWR103" s="4"/>
      <c r="CWW103" s="7"/>
      <c r="CWX103" s="7"/>
      <c r="CWY103" s="7"/>
      <c r="CWZ103" s="4"/>
      <c r="CXE103" s="7"/>
      <c r="CXF103" s="7"/>
      <c r="CXG103" s="7"/>
      <c r="CXH103" s="4"/>
      <c r="CXM103" s="7"/>
      <c r="CXN103" s="7"/>
      <c r="CXO103" s="7"/>
      <c r="CXP103" s="4"/>
      <c r="CXU103" s="7"/>
      <c r="CXV103" s="7"/>
      <c r="CXW103" s="7"/>
      <c r="CXX103" s="4"/>
      <c r="CYC103" s="7"/>
      <c r="CYD103" s="7"/>
      <c r="CYE103" s="7"/>
      <c r="CYF103" s="4"/>
      <c r="CYK103" s="7"/>
      <c r="CYL103" s="7"/>
      <c r="CYM103" s="7"/>
      <c r="CYN103" s="4"/>
      <c r="CYS103" s="7"/>
      <c r="CYT103" s="7"/>
      <c r="CYU103" s="7"/>
      <c r="CYV103" s="4"/>
      <c r="CZA103" s="7"/>
      <c r="CZB103" s="7"/>
      <c r="CZC103" s="7"/>
      <c r="CZD103" s="4"/>
      <c r="CZI103" s="7"/>
      <c r="CZJ103" s="7"/>
      <c r="CZK103" s="7"/>
      <c r="CZL103" s="4"/>
      <c r="CZQ103" s="7"/>
      <c r="CZR103" s="7"/>
      <c r="CZS103" s="7"/>
      <c r="CZT103" s="4"/>
      <c r="CZY103" s="7"/>
      <c r="CZZ103" s="7"/>
      <c r="DAA103" s="7"/>
      <c r="DAB103" s="4"/>
      <c r="DAG103" s="7"/>
      <c r="DAH103" s="7"/>
      <c r="DAI103" s="7"/>
      <c r="DAJ103" s="4"/>
      <c r="DAO103" s="7"/>
      <c r="DAP103" s="7"/>
      <c r="DAQ103" s="7"/>
      <c r="DAR103" s="4"/>
      <c r="DAW103" s="7"/>
      <c r="DAX103" s="7"/>
      <c r="DAY103" s="7"/>
      <c r="DAZ103" s="4"/>
      <c r="DBE103" s="7"/>
      <c r="DBF103" s="7"/>
      <c r="DBG103" s="7"/>
      <c r="DBH103" s="4"/>
      <c r="DBM103" s="7"/>
      <c r="DBN103" s="7"/>
      <c r="DBO103" s="7"/>
      <c r="DBP103" s="4"/>
      <c r="DBU103" s="7"/>
      <c r="DBV103" s="7"/>
      <c r="DBW103" s="7"/>
      <c r="DBX103" s="4"/>
      <c r="DCC103" s="7"/>
      <c r="DCD103" s="7"/>
      <c r="DCE103" s="7"/>
      <c r="DCF103" s="4"/>
      <c r="DCK103" s="7"/>
      <c r="DCL103" s="7"/>
      <c r="DCM103" s="7"/>
      <c r="DCN103" s="4"/>
      <c r="DCS103" s="7"/>
      <c r="DCT103" s="7"/>
      <c r="DCU103" s="7"/>
      <c r="DCV103" s="4"/>
      <c r="DDA103" s="7"/>
      <c r="DDB103" s="7"/>
      <c r="DDC103" s="7"/>
      <c r="DDD103" s="4"/>
      <c r="DDI103" s="7"/>
      <c r="DDJ103" s="7"/>
      <c r="DDK103" s="7"/>
      <c r="DDL103" s="4"/>
      <c r="DDQ103" s="7"/>
      <c r="DDR103" s="7"/>
      <c r="DDS103" s="7"/>
      <c r="DDT103" s="4"/>
      <c r="DDY103" s="7"/>
      <c r="DDZ103" s="7"/>
      <c r="DEA103" s="7"/>
      <c r="DEB103" s="4"/>
      <c r="DEG103" s="7"/>
      <c r="DEH103" s="7"/>
      <c r="DEI103" s="7"/>
      <c r="DEJ103" s="4"/>
      <c r="DEO103" s="7"/>
      <c r="DEP103" s="7"/>
      <c r="DEQ103" s="7"/>
      <c r="DER103" s="4"/>
      <c r="DEW103" s="7"/>
      <c r="DEX103" s="7"/>
      <c r="DEY103" s="7"/>
      <c r="DEZ103" s="4"/>
      <c r="DFE103" s="7"/>
      <c r="DFF103" s="7"/>
      <c r="DFG103" s="7"/>
      <c r="DFH103" s="4"/>
      <c r="DFM103" s="7"/>
      <c r="DFN103" s="7"/>
      <c r="DFO103" s="7"/>
      <c r="DFP103" s="4"/>
      <c r="DFU103" s="7"/>
      <c r="DFV103" s="7"/>
      <c r="DFW103" s="7"/>
      <c r="DFX103" s="4"/>
      <c r="DGC103" s="7"/>
      <c r="DGD103" s="7"/>
      <c r="DGE103" s="7"/>
      <c r="DGF103" s="4"/>
      <c r="DGK103" s="7"/>
      <c r="DGL103" s="7"/>
      <c r="DGM103" s="7"/>
      <c r="DGN103" s="4"/>
      <c r="DGS103" s="7"/>
      <c r="DGT103" s="7"/>
      <c r="DGU103" s="7"/>
      <c r="DGV103" s="4"/>
      <c r="DHA103" s="7"/>
      <c r="DHB103" s="7"/>
      <c r="DHC103" s="7"/>
      <c r="DHD103" s="4"/>
      <c r="DHI103" s="7"/>
      <c r="DHJ103" s="7"/>
      <c r="DHK103" s="7"/>
      <c r="DHL103" s="4"/>
      <c r="DHQ103" s="7"/>
      <c r="DHR103" s="7"/>
      <c r="DHS103" s="7"/>
      <c r="DHT103" s="4"/>
      <c r="DHY103" s="7"/>
      <c r="DHZ103" s="7"/>
      <c r="DIA103" s="7"/>
      <c r="DIB103" s="4"/>
      <c r="DIG103" s="7"/>
      <c r="DIH103" s="7"/>
      <c r="DII103" s="7"/>
      <c r="DIJ103" s="4"/>
      <c r="DIO103" s="7"/>
      <c r="DIP103" s="7"/>
      <c r="DIQ103" s="7"/>
      <c r="DIR103" s="4"/>
      <c r="DIW103" s="7"/>
      <c r="DIX103" s="7"/>
      <c r="DIY103" s="7"/>
      <c r="DIZ103" s="4"/>
      <c r="DJE103" s="7"/>
      <c r="DJF103" s="7"/>
      <c r="DJG103" s="7"/>
      <c r="DJH103" s="4"/>
      <c r="DJM103" s="7"/>
      <c r="DJN103" s="7"/>
      <c r="DJO103" s="7"/>
      <c r="DJP103" s="4"/>
      <c r="DJU103" s="7"/>
      <c r="DJV103" s="7"/>
      <c r="DJW103" s="7"/>
      <c r="DJX103" s="4"/>
      <c r="DKC103" s="7"/>
      <c r="DKD103" s="7"/>
      <c r="DKE103" s="7"/>
      <c r="DKF103" s="4"/>
      <c r="DKK103" s="7"/>
      <c r="DKL103" s="7"/>
      <c r="DKM103" s="7"/>
      <c r="DKN103" s="4"/>
      <c r="DKS103" s="7"/>
      <c r="DKT103" s="7"/>
      <c r="DKU103" s="7"/>
      <c r="DKV103" s="4"/>
      <c r="DLA103" s="7"/>
      <c r="DLB103" s="7"/>
      <c r="DLC103" s="7"/>
      <c r="DLD103" s="4"/>
      <c r="DLI103" s="7"/>
      <c r="DLJ103" s="7"/>
      <c r="DLK103" s="7"/>
      <c r="DLL103" s="4"/>
      <c r="DLQ103" s="7"/>
      <c r="DLR103" s="7"/>
      <c r="DLS103" s="7"/>
      <c r="DLT103" s="4"/>
      <c r="DLY103" s="7"/>
      <c r="DLZ103" s="7"/>
      <c r="DMA103" s="7"/>
      <c r="DMB103" s="4"/>
      <c r="DMG103" s="7"/>
      <c r="DMH103" s="7"/>
      <c r="DMI103" s="7"/>
      <c r="DMJ103" s="4"/>
      <c r="DMO103" s="7"/>
      <c r="DMP103" s="7"/>
      <c r="DMQ103" s="7"/>
      <c r="DMR103" s="4"/>
      <c r="DMW103" s="7"/>
      <c r="DMX103" s="7"/>
      <c r="DMY103" s="7"/>
      <c r="DMZ103" s="4"/>
      <c r="DNE103" s="7"/>
      <c r="DNF103" s="7"/>
      <c r="DNG103" s="7"/>
      <c r="DNH103" s="4"/>
      <c r="DNM103" s="7"/>
      <c r="DNN103" s="7"/>
      <c r="DNO103" s="7"/>
      <c r="DNP103" s="4"/>
      <c r="DNU103" s="7"/>
      <c r="DNV103" s="7"/>
      <c r="DNW103" s="7"/>
      <c r="DNX103" s="4"/>
      <c r="DOC103" s="7"/>
      <c r="DOD103" s="7"/>
      <c r="DOE103" s="7"/>
      <c r="DOF103" s="4"/>
      <c r="DOK103" s="7"/>
      <c r="DOL103" s="7"/>
      <c r="DOM103" s="7"/>
      <c r="DON103" s="4"/>
      <c r="DOS103" s="7"/>
      <c r="DOT103" s="7"/>
      <c r="DOU103" s="7"/>
      <c r="DOV103" s="4"/>
      <c r="DPA103" s="7"/>
      <c r="DPB103" s="7"/>
      <c r="DPC103" s="7"/>
      <c r="DPD103" s="4"/>
      <c r="DPI103" s="7"/>
      <c r="DPJ103" s="7"/>
      <c r="DPK103" s="7"/>
      <c r="DPL103" s="4"/>
      <c r="DPQ103" s="7"/>
      <c r="DPR103" s="7"/>
      <c r="DPS103" s="7"/>
      <c r="DPT103" s="4"/>
      <c r="DPY103" s="7"/>
      <c r="DPZ103" s="7"/>
      <c r="DQA103" s="7"/>
      <c r="DQB103" s="4"/>
      <c r="DQG103" s="7"/>
      <c r="DQH103" s="7"/>
      <c r="DQI103" s="7"/>
      <c r="DQJ103" s="4"/>
      <c r="DQO103" s="7"/>
      <c r="DQP103" s="7"/>
      <c r="DQQ103" s="7"/>
      <c r="DQR103" s="4"/>
      <c r="DQW103" s="7"/>
      <c r="DQX103" s="7"/>
      <c r="DQY103" s="7"/>
      <c r="DQZ103" s="4"/>
      <c r="DRE103" s="7"/>
      <c r="DRF103" s="7"/>
      <c r="DRG103" s="7"/>
      <c r="DRH103" s="4"/>
      <c r="DRM103" s="7"/>
      <c r="DRN103" s="7"/>
      <c r="DRO103" s="7"/>
      <c r="DRP103" s="4"/>
      <c r="DRU103" s="7"/>
      <c r="DRV103" s="7"/>
      <c r="DRW103" s="7"/>
      <c r="DRX103" s="4"/>
      <c r="DSC103" s="7"/>
      <c r="DSD103" s="7"/>
      <c r="DSE103" s="7"/>
      <c r="DSF103" s="4"/>
      <c r="DSK103" s="7"/>
      <c r="DSL103" s="7"/>
      <c r="DSM103" s="7"/>
      <c r="DSN103" s="4"/>
      <c r="DSS103" s="7"/>
      <c r="DST103" s="7"/>
      <c r="DSU103" s="7"/>
      <c r="DSV103" s="4"/>
      <c r="DTA103" s="7"/>
      <c r="DTB103" s="7"/>
      <c r="DTC103" s="7"/>
      <c r="DTD103" s="4"/>
      <c r="DTI103" s="7"/>
      <c r="DTJ103" s="7"/>
      <c r="DTK103" s="7"/>
      <c r="DTL103" s="4"/>
      <c r="DTQ103" s="7"/>
      <c r="DTR103" s="7"/>
      <c r="DTS103" s="7"/>
      <c r="DTT103" s="4"/>
      <c r="DTY103" s="7"/>
      <c r="DTZ103" s="7"/>
      <c r="DUA103" s="7"/>
      <c r="DUB103" s="4"/>
      <c r="DUG103" s="7"/>
      <c r="DUH103" s="7"/>
      <c r="DUI103" s="7"/>
      <c r="DUJ103" s="4"/>
      <c r="DUO103" s="7"/>
      <c r="DUP103" s="7"/>
      <c r="DUQ103" s="7"/>
      <c r="DUR103" s="4"/>
      <c r="DUW103" s="7"/>
      <c r="DUX103" s="7"/>
      <c r="DUY103" s="7"/>
      <c r="DUZ103" s="4"/>
      <c r="DVE103" s="7"/>
      <c r="DVF103" s="7"/>
      <c r="DVG103" s="7"/>
      <c r="DVH103" s="4"/>
      <c r="DVM103" s="7"/>
      <c r="DVN103" s="7"/>
      <c r="DVO103" s="7"/>
      <c r="DVP103" s="4"/>
      <c r="DVU103" s="7"/>
      <c r="DVV103" s="7"/>
      <c r="DVW103" s="7"/>
      <c r="DVX103" s="4"/>
      <c r="DWC103" s="7"/>
      <c r="DWD103" s="7"/>
      <c r="DWE103" s="7"/>
      <c r="DWF103" s="4"/>
      <c r="DWK103" s="7"/>
      <c r="DWL103" s="7"/>
      <c r="DWM103" s="7"/>
      <c r="DWN103" s="4"/>
      <c r="DWS103" s="7"/>
      <c r="DWT103" s="7"/>
      <c r="DWU103" s="7"/>
      <c r="DWV103" s="4"/>
      <c r="DXA103" s="7"/>
      <c r="DXB103" s="7"/>
      <c r="DXC103" s="7"/>
      <c r="DXD103" s="4"/>
      <c r="DXI103" s="7"/>
      <c r="DXJ103" s="7"/>
      <c r="DXK103" s="7"/>
      <c r="DXL103" s="4"/>
      <c r="DXQ103" s="7"/>
      <c r="DXR103" s="7"/>
      <c r="DXS103" s="7"/>
      <c r="DXT103" s="4"/>
      <c r="DXY103" s="7"/>
      <c r="DXZ103" s="7"/>
      <c r="DYA103" s="7"/>
      <c r="DYB103" s="4"/>
      <c r="DYG103" s="7"/>
      <c r="DYH103" s="7"/>
      <c r="DYI103" s="7"/>
      <c r="DYJ103" s="4"/>
      <c r="DYO103" s="7"/>
      <c r="DYP103" s="7"/>
      <c r="DYQ103" s="7"/>
      <c r="DYR103" s="4"/>
      <c r="DYW103" s="7"/>
      <c r="DYX103" s="7"/>
      <c r="DYY103" s="7"/>
      <c r="DYZ103" s="4"/>
      <c r="DZE103" s="7"/>
      <c r="DZF103" s="7"/>
      <c r="DZG103" s="7"/>
      <c r="DZH103" s="4"/>
      <c r="DZM103" s="7"/>
      <c r="DZN103" s="7"/>
      <c r="DZO103" s="7"/>
      <c r="DZP103" s="4"/>
      <c r="DZU103" s="7"/>
      <c r="DZV103" s="7"/>
      <c r="DZW103" s="7"/>
      <c r="DZX103" s="4"/>
      <c r="EAC103" s="7"/>
      <c r="EAD103" s="7"/>
      <c r="EAE103" s="7"/>
      <c r="EAF103" s="4"/>
      <c r="EAK103" s="7"/>
      <c r="EAL103" s="7"/>
      <c r="EAM103" s="7"/>
      <c r="EAN103" s="4"/>
      <c r="EAS103" s="7"/>
      <c r="EAT103" s="7"/>
      <c r="EAU103" s="7"/>
      <c r="EAV103" s="4"/>
      <c r="EBA103" s="7"/>
      <c r="EBB103" s="7"/>
      <c r="EBC103" s="7"/>
      <c r="EBD103" s="4"/>
      <c r="EBI103" s="7"/>
      <c r="EBJ103" s="7"/>
      <c r="EBK103" s="7"/>
      <c r="EBL103" s="4"/>
      <c r="EBQ103" s="7"/>
      <c r="EBR103" s="7"/>
      <c r="EBS103" s="7"/>
      <c r="EBT103" s="4"/>
      <c r="EBY103" s="7"/>
      <c r="EBZ103" s="7"/>
      <c r="ECA103" s="7"/>
      <c r="ECB103" s="4"/>
      <c r="ECG103" s="7"/>
      <c r="ECH103" s="7"/>
      <c r="ECI103" s="7"/>
      <c r="ECJ103" s="4"/>
      <c r="ECO103" s="7"/>
      <c r="ECP103" s="7"/>
      <c r="ECQ103" s="7"/>
      <c r="ECR103" s="4"/>
      <c r="ECW103" s="7"/>
      <c r="ECX103" s="7"/>
      <c r="ECY103" s="7"/>
      <c r="ECZ103" s="4"/>
      <c r="EDE103" s="7"/>
      <c r="EDF103" s="7"/>
      <c r="EDG103" s="7"/>
      <c r="EDH103" s="4"/>
      <c r="EDM103" s="7"/>
      <c r="EDN103" s="7"/>
      <c r="EDO103" s="7"/>
      <c r="EDP103" s="4"/>
      <c r="EDU103" s="7"/>
      <c r="EDV103" s="7"/>
      <c r="EDW103" s="7"/>
      <c r="EDX103" s="4"/>
      <c r="EEC103" s="7"/>
      <c r="EED103" s="7"/>
      <c r="EEE103" s="7"/>
      <c r="EEF103" s="4"/>
      <c r="EEK103" s="7"/>
      <c r="EEL103" s="7"/>
      <c r="EEM103" s="7"/>
      <c r="EEN103" s="4"/>
      <c r="EES103" s="7"/>
      <c r="EET103" s="7"/>
      <c r="EEU103" s="7"/>
      <c r="EEV103" s="4"/>
      <c r="EFA103" s="7"/>
      <c r="EFB103" s="7"/>
      <c r="EFC103" s="7"/>
      <c r="EFD103" s="4"/>
      <c r="EFI103" s="7"/>
      <c r="EFJ103" s="7"/>
      <c r="EFK103" s="7"/>
      <c r="EFL103" s="4"/>
      <c r="EFQ103" s="7"/>
      <c r="EFR103" s="7"/>
      <c r="EFS103" s="7"/>
      <c r="EFT103" s="4"/>
      <c r="EFY103" s="7"/>
      <c r="EFZ103" s="7"/>
      <c r="EGA103" s="7"/>
      <c r="EGB103" s="4"/>
      <c r="EGG103" s="7"/>
      <c r="EGH103" s="7"/>
      <c r="EGI103" s="7"/>
      <c r="EGJ103" s="4"/>
      <c r="EGO103" s="7"/>
      <c r="EGP103" s="7"/>
      <c r="EGQ103" s="7"/>
      <c r="EGR103" s="4"/>
      <c r="EGW103" s="7"/>
      <c r="EGX103" s="7"/>
      <c r="EGY103" s="7"/>
      <c r="EGZ103" s="4"/>
      <c r="EHE103" s="7"/>
      <c r="EHF103" s="7"/>
      <c r="EHG103" s="7"/>
      <c r="EHH103" s="4"/>
      <c r="EHM103" s="7"/>
      <c r="EHN103" s="7"/>
      <c r="EHO103" s="7"/>
      <c r="EHP103" s="4"/>
      <c r="EHU103" s="7"/>
      <c r="EHV103" s="7"/>
      <c r="EHW103" s="7"/>
      <c r="EHX103" s="4"/>
      <c r="EIC103" s="7"/>
      <c r="EID103" s="7"/>
      <c r="EIE103" s="7"/>
      <c r="EIF103" s="4"/>
      <c r="EIK103" s="7"/>
      <c r="EIL103" s="7"/>
      <c r="EIM103" s="7"/>
      <c r="EIN103" s="4"/>
      <c r="EIS103" s="7"/>
      <c r="EIT103" s="7"/>
      <c r="EIU103" s="7"/>
      <c r="EIV103" s="4"/>
      <c r="EJA103" s="7"/>
      <c r="EJB103" s="7"/>
      <c r="EJC103" s="7"/>
      <c r="EJD103" s="4"/>
      <c r="EJI103" s="7"/>
      <c r="EJJ103" s="7"/>
      <c r="EJK103" s="7"/>
      <c r="EJL103" s="4"/>
      <c r="EJQ103" s="7"/>
      <c r="EJR103" s="7"/>
      <c r="EJS103" s="7"/>
      <c r="EJT103" s="4"/>
      <c r="EJY103" s="7"/>
      <c r="EJZ103" s="7"/>
      <c r="EKA103" s="7"/>
      <c r="EKB103" s="4"/>
      <c r="EKG103" s="7"/>
      <c r="EKH103" s="7"/>
      <c r="EKI103" s="7"/>
      <c r="EKJ103" s="4"/>
      <c r="EKO103" s="7"/>
      <c r="EKP103" s="7"/>
      <c r="EKQ103" s="7"/>
      <c r="EKR103" s="4"/>
      <c r="EKW103" s="7"/>
      <c r="EKX103" s="7"/>
      <c r="EKY103" s="7"/>
      <c r="EKZ103" s="4"/>
      <c r="ELE103" s="7"/>
      <c r="ELF103" s="7"/>
      <c r="ELG103" s="7"/>
      <c r="ELH103" s="4"/>
      <c r="ELM103" s="7"/>
      <c r="ELN103" s="7"/>
      <c r="ELO103" s="7"/>
      <c r="ELP103" s="4"/>
      <c r="ELU103" s="7"/>
      <c r="ELV103" s="7"/>
      <c r="ELW103" s="7"/>
      <c r="ELX103" s="4"/>
      <c r="EMC103" s="7"/>
      <c r="EMD103" s="7"/>
      <c r="EME103" s="7"/>
      <c r="EMF103" s="4"/>
      <c r="EMK103" s="7"/>
      <c r="EML103" s="7"/>
      <c r="EMM103" s="7"/>
      <c r="EMN103" s="4"/>
      <c r="EMS103" s="7"/>
      <c r="EMT103" s="7"/>
      <c r="EMU103" s="7"/>
      <c r="EMV103" s="4"/>
      <c r="ENA103" s="7"/>
      <c r="ENB103" s="7"/>
      <c r="ENC103" s="7"/>
      <c r="END103" s="4"/>
      <c r="ENI103" s="7"/>
      <c r="ENJ103" s="7"/>
      <c r="ENK103" s="7"/>
      <c r="ENL103" s="4"/>
      <c r="ENQ103" s="7"/>
      <c r="ENR103" s="7"/>
      <c r="ENS103" s="7"/>
      <c r="ENT103" s="4"/>
      <c r="ENY103" s="7"/>
      <c r="ENZ103" s="7"/>
      <c r="EOA103" s="7"/>
      <c r="EOB103" s="4"/>
      <c r="EOG103" s="7"/>
      <c r="EOH103" s="7"/>
      <c r="EOI103" s="7"/>
      <c r="EOJ103" s="4"/>
      <c r="EOO103" s="7"/>
      <c r="EOP103" s="7"/>
      <c r="EOQ103" s="7"/>
      <c r="EOR103" s="4"/>
      <c r="EOW103" s="7"/>
      <c r="EOX103" s="7"/>
      <c r="EOY103" s="7"/>
      <c r="EOZ103" s="4"/>
      <c r="EPE103" s="7"/>
      <c r="EPF103" s="7"/>
      <c r="EPG103" s="7"/>
      <c r="EPH103" s="4"/>
      <c r="EPM103" s="7"/>
      <c r="EPN103" s="7"/>
      <c r="EPO103" s="7"/>
      <c r="EPP103" s="4"/>
      <c r="EPU103" s="7"/>
      <c r="EPV103" s="7"/>
      <c r="EPW103" s="7"/>
      <c r="EPX103" s="4"/>
      <c r="EQC103" s="7"/>
      <c r="EQD103" s="7"/>
      <c r="EQE103" s="7"/>
      <c r="EQF103" s="4"/>
      <c r="EQK103" s="7"/>
      <c r="EQL103" s="7"/>
      <c r="EQM103" s="7"/>
      <c r="EQN103" s="4"/>
      <c r="EQS103" s="7"/>
      <c r="EQT103" s="7"/>
      <c r="EQU103" s="7"/>
      <c r="EQV103" s="4"/>
      <c r="ERA103" s="7"/>
      <c r="ERB103" s="7"/>
      <c r="ERC103" s="7"/>
      <c r="ERD103" s="4"/>
      <c r="ERI103" s="7"/>
      <c r="ERJ103" s="7"/>
      <c r="ERK103" s="7"/>
      <c r="ERL103" s="4"/>
      <c r="ERQ103" s="7"/>
      <c r="ERR103" s="7"/>
      <c r="ERS103" s="7"/>
      <c r="ERT103" s="4"/>
      <c r="ERY103" s="7"/>
      <c r="ERZ103" s="7"/>
      <c r="ESA103" s="7"/>
      <c r="ESB103" s="4"/>
      <c r="ESG103" s="7"/>
      <c r="ESH103" s="7"/>
      <c r="ESI103" s="7"/>
      <c r="ESJ103" s="4"/>
      <c r="ESO103" s="7"/>
      <c r="ESP103" s="7"/>
      <c r="ESQ103" s="7"/>
      <c r="ESR103" s="4"/>
      <c r="ESW103" s="7"/>
      <c r="ESX103" s="7"/>
      <c r="ESY103" s="7"/>
      <c r="ESZ103" s="4"/>
      <c r="ETE103" s="7"/>
      <c r="ETF103" s="7"/>
      <c r="ETG103" s="7"/>
      <c r="ETH103" s="4"/>
      <c r="ETM103" s="7"/>
      <c r="ETN103" s="7"/>
      <c r="ETO103" s="7"/>
      <c r="ETP103" s="4"/>
      <c r="ETU103" s="7"/>
      <c r="ETV103" s="7"/>
      <c r="ETW103" s="7"/>
      <c r="ETX103" s="4"/>
      <c r="EUC103" s="7"/>
      <c r="EUD103" s="7"/>
      <c r="EUE103" s="7"/>
      <c r="EUF103" s="4"/>
      <c r="EUK103" s="7"/>
      <c r="EUL103" s="7"/>
      <c r="EUM103" s="7"/>
      <c r="EUN103" s="4"/>
      <c r="EUS103" s="7"/>
      <c r="EUT103" s="7"/>
      <c r="EUU103" s="7"/>
      <c r="EUV103" s="4"/>
      <c r="EVA103" s="7"/>
      <c r="EVB103" s="7"/>
      <c r="EVC103" s="7"/>
      <c r="EVD103" s="4"/>
      <c r="EVI103" s="7"/>
      <c r="EVJ103" s="7"/>
      <c r="EVK103" s="7"/>
      <c r="EVL103" s="4"/>
      <c r="EVQ103" s="7"/>
      <c r="EVR103" s="7"/>
      <c r="EVS103" s="7"/>
      <c r="EVT103" s="4"/>
      <c r="EVY103" s="7"/>
      <c r="EVZ103" s="7"/>
      <c r="EWA103" s="7"/>
      <c r="EWB103" s="4"/>
      <c r="EWG103" s="7"/>
      <c r="EWH103" s="7"/>
      <c r="EWI103" s="7"/>
      <c r="EWJ103" s="4"/>
      <c r="EWO103" s="7"/>
      <c r="EWP103" s="7"/>
      <c r="EWQ103" s="7"/>
      <c r="EWR103" s="4"/>
      <c r="EWW103" s="7"/>
      <c r="EWX103" s="7"/>
      <c r="EWY103" s="7"/>
      <c r="EWZ103" s="4"/>
      <c r="EXE103" s="7"/>
      <c r="EXF103" s="7"/>
      <c r="EXG103" s="7"/>
      <c r="EXH103" s="4"/>
      <c r="EXM103" s="7"/>
      <c r="EXN103" s="7"/>
      <c r="EXO103" s="7"/>
      <c r="EXP103" s="4"/>
      <c r="EXU103" s="7"/>
      <c r="EXV103" s="7"/>
      <c r="EXW103" s="7"/>
      <c r="EXX103" s="4"/>
      <c r="EYC103" s="7"/>
      <c r="EYD103" s="7"/>
      <c r="EYE103" s="7"/>
      <c r="EYF103" s="4"/>
      <c r="EYK103" s="7"/>
      <c r="EYL103" s="7"/>
      <c r="EYM103" s="7"/>
      <c r="EYN103" s="4"/>
      <c r="EYS103" s="7"/>
      <c r="EYT103" s="7"/>
      <c r="EYU103" s="7"/>
      <c r="EYV103" s="4"/>
      <c r="EZA103" s="7"/>
      <c r="EZB103" s="7"/>
      <c r="EZC103" s="7"/>
      <c r="EZD103" s="4"/>
      <c r="EZI103" s="7"/>
      <c r="EZJ103" s="7"/>
      <c r="EZK103" s="7"/>
      <c r="EZL103" s="4"/>
      <c r="EZQ103" s="7"/>
      <c r="EZR103" s="7"/>
      <c r="EZS103" s="7"/>
      <c r="EZT103" s="4"/>
      <c r="EZY103" s="7"/>
      <c r="EZZ103" s="7"/>
      <c r="FAA103" s="7"/>
      <c r="FAB103" s="4"/>
      <c r="FAG103" s="7"/>
      <c r="FAH103" s="7"/>
      <c r="FAI103" s="7"/>
      <c r="FAJ103" s="4"/>
      <c r="FAO103" s="7"/>
      <c r="FAP103" s="7"/>
      <c r="FAQ103" s="7"/>
      <c r="FAR103" s="4"/>
      <c r="FAW103" s="7"/>
      <c r="FAX103" s="7"/>
      <c r="FAY103" s="7"/>
      <c r="FAZ103" s="4"/>
      <c r="FBE103" s="7"/>
      <c r="FBF103" s="7"/>
      <c r="FBG103" s="7"/>
      <c r="FBH103" s="4"/>
      <c r="FBM103" s="7"/>
      <c r="FBN103" s="7"/>
      <c r="FBO103" s="7"/>
      <c r="FBP103" s="4"/>
      <c r="FBU103" s="7"/>
      <c r="FBV103" s="7"/>
      <c r="FBW103" s="7"/>
      <c r="FBX103" s="4"/>
      <c r="FCC103" s="7"/>
      <c r="FCD103" s="7"/>
      <c r="FCE103" s="7"/>
      <c r="FCF103" s="4"/>
      <c r="FCK103" s="7"/>
      <c r="FCL103" s="7"/>
      <c r="FCM103" s="7"/>
      <c r="FCN103" s="4"/>
      <c r="FCS103" s="7"/>
      <c r="FCT103" s="7"/>
      <c r="FCU103" s="7"/>
      <c r="FCV103" s="4"/>
      <c r="FDA103" s="7"/>
      <c r="FDB103" s="7"/>
      <c r="FDC103" s="7"/>
      <c r="FDD103" s="4"/>
      <c r="FDI103" s="7"/>
      <c r="FDJ103" s="7"/>
      <c r="FDK103" s="7"/>
      <c r="FDL103" s="4"/>
      <c r="FDQ103" s="7"/>
      <c r="FDR103" s="7"/>
      <c r="FDS103" s="7"/>
      <c r="FDT103" s="4"/>
      <c r="FDY103" s="7"/>
      <c r="FDZ103" s="7"/>
      <c r="FEA103" s="7"/>
      <c r="FEB103" s="4"/>
      <c r="FEG103" s="7"/>
      <c r="FEH103" s="7"/>
      <c r="FEI103" s="7"/>
      <c r="FEJ103" s="4"/>
      <c r="FEO103" s="7"/>
      <c r="FEP103" s="7"/>
      <c r="FEQ103" s="7"/>
      <c r="FER103" s="4"/>
      <c r="FEW103" s="7"/>
      <c r="FEX103" s="7"/>
      <c r="FEY103" s="7"/>
      <c r="FEZ103" s="4"/>
      <c r="FFE103" s="7"/>
      <c r="FFF103" s="7"/>
      <c r="FFG103" s="7"/>
      <c r="FFH103" s="4"/>
      <c r="FFM103" s="7"/>
      <c r="FFN103" s="7"/>
      <c r="FFO103" s="7"/>
      <c r="FFP103" s="4"/>
      <c r="FFU103" s="7"/>
      <c r="FFV103" s="7"/>
      <c r="FFW103" s="7"/>
      <c r="FFX103" s="4"/>
      <c r="FGC103" s="7"/>
      <c r="FGD103" s="7"/>
      <c r="FGE103" s="7"/>
      <c r="FGF103" s="4"/>
      <c r="FGK103" s="7"/>
      <c r="FGL103" s="7"/>
      <c r="FGM103" s="7"/>
      <c r="FGN103" s="4"/>
      <c r="FGS103" s="7"/>
      <c r="FGT103" s="7"/>
      <c r="FGU103" s="7"/>
      <c r="FGV103" s="4"/>
      <c r="FHA103" s="7"/>
      <c r="FHB103" s="7"/>
      <c r="FHC103" s="7"/>
      <c r="FHD103" s="4"/>
      <c r="FHI103" s="7"/>
      <c r="FHJ103" s="7"/>
      <c r="FHK103" s="7"/>
      <c r="FHL103" s="4"/>
      <c r="FHQ103" s="7"/>
      <c r="FHR103" s="7"/>
      <c r="FHS103" s="7"/>
      <c r="FHT103" s="4"/>
      <c r="FHY103" s="7"/>
      <c r="FHZ103" s="7"/>
      <c r="FIA103" s="7"/>
      <c r="FIB103" s="4"/>
      <c r="FIG103" s="7"/>
      <c r="FIH103" s="7"/>
      <c r="FII103" s="7"/>
      <c r="FIJ103" s="4"/>
      <c r="FIO103" s="7"/>
      <c r="FIP103" s="7"/>
      <c r="FIQ103" s="7"/>
      <c r="FIR103" s="4"/>
      <c r="FIW103" s="7"/>
      <c r="FIX103" s="7"/>
      <c r="FIY103" s="7"/>
      <c r="FIZ103" s="4"/>
      <c r="FJE103" s="7"/>
      <c r="FJF103" s="7"/>
      <c r="FJG103" s="7"/>
      <c r="FJH103" s="4"/>
      <c r="FJM103" s="7"/>
      <c r="FJN103" s="7"/>
      <c r="FJO103" s="7"/>
      <c r="FJP103" s="4"/>
      <c r="FJU103" s="7"/>
      <c r="FJV103" s="7"/>
      <c r="FJW103" s="7"/>
      <c r="FJX103" s="4"/>
      <c r="FKC103" s="7"/>
      <c r="FKD103" s="7"/>
      <c r="FKE103" s="7"/>
      <c r="FKF103" s="4"/>
      <c r="FKK103" s="7"/>
      <c r="FKL103" s="7"/>
      <c r="FKM103" s="7"/>
      <c r="FKN103" s="4"/>
      <c r="FKS103" s="7"/>
      <c r="FKT103" s="7"/>
      <c r="FKU103" s="7"/>
      <c r="FKV103" s="4"/>
      <c r="FLA103" s="7"/>
      <c r="FLB103" s="7"/>
      <c r="FLC103" s="7"/>
      <c r="FLD103" s="4"/>
      <c r="FLI103" s="7"/>
      <c r="FLJ103" s="7"/>
      <c r="FLK103" s="7"/>
      <c r="FLL103" s="4"/>
      <c r="FLQ103" s="7"/>
      <c r="FLR103" s="7"/>
      <c r="FLS103" s="7"/>
      <c r="FLT103" s="4"/>
      <c r="FLY103" s="7"/>
      <c r="FLZ103" s="7"/>
      <c r="FMA103" s="7"/>
      <c r="FMB103" s="4"/>
      <c r="FMG103" s="7"/>
      <c r="FMH103" s="7"/>
      <c r="FMI103" s="7"/>
      <c r="FMJ103" s="4"/>
      <c r="FMO103" s="7"/>
      <c r="FMP103" s="7"/>
      <c r="FMQ103" s="7"/>
      <c r="FMR103" s="4"/>
      <c r="FMW103" s="7"/>
      <c r="FMX103" s="7"/>
      <c r="FMY103" s="7"/>
      <c r="FMZ103" s="4"/>
      <c r="FNE103" s="7"/>
      <c r="FNF103" s="7"/>
      <c r="FNG103" s="7"/>
      <c r="FNH103" s="4"/>
      <c r="FNM103" s="7"/>
      <c r="FNN103" s="7"/>
      <c r="FNO103" s="7"/>
      <c r="FNP103" s="4"/>
      <c r="FNU103" s="7"/>
      <c r="FNV103" s="7"/>
      <c r="FNW103" s="7"/>
      <c r="FNX103" s="4"/>
      <c r="FOC103" s="7"/>
      <c r="FOD103" s="7"/>
      <c r="FOE103" s="7"/>
      <c r="FOF103" s="4"/>
      <c r="FOK103" s="7"/>
      <c r="FOL103" s="7"/>
      <c r="FOM103" s="7"/>
      <c r="FON103" s="4"/>
      <c r="FOS103" s="7"/>
      <c r="FOT103" s="7"/>
      <c r="FOU103" s="7"/>
      <c r="FOV103" s="4"/>
      <c r="FPA103" s="7"/>
      <c r="FPB103" s="7"/>
      <c r="FPC103" s="7"/>
      <c r="FPD103" s="4"/>
      <c r="FPI103" s="7"/>
      <c r="FPJ103" s="7"/>
      <c r="FPK103" s="7"/>
      <c r="FPL103" s="4"/>
      <c r="FPQ103" s="7"/>
      <c r="FPR103" s="7"/>
      <c r="FPS103" s="7"/>
      <c r="FPT103" s="4"/>
      <c r="FPY103" s="7"/>
      <c r="FPZ103" s="7"/>
      <c r="FQA103" s="7"/>
      <c r="FQB103" s="4"/>
      <c r="FQG103" s="7"/>
      <c r="FQH103" s="7"/>
      <c r="FQI103" s="7"/>
      <c r="FQJ103" s="4"/>
      <c r="FQO103" s="7"/>
      <c r="FQP103" s="7"/>
      <c r="FQQ103" s="7"/>
      <c r="FQR103" s="4"/>
      <c r="FQW103" s="7"/>
      <c r="FQX103" s="7"/>
      <c r="FQY103" s="7"/>
      <c r="FQZ103" s="4"/>
      <c r="FRE103" s="7"/>
      <c r="FRF103" s="7"/>
      <c r="FRG103" s="7"/>
      <c r="FRH103" s="4"/>
      <c r="FRM103" s="7"/>
      <c r="FRN103" s="7"/>
      <c r="FRO103" s="7"/>
      <c r="FRP103" s="4"/>
      <c r="FRU103" s="7"/>
      <c r="FRV103" s="7"/>
      <c r="FRW103" s="7"/>
      <c r="FRX103" s="4"/>
      <c r="FSC103" s="7"/>
      <c r="FSD103" s="7"/>
      <c r="FSE103" s="7"/>
      <c r="FSF103" s="4"/>
      <c r="FSK103" s="7"/>
      <c r="FSL103" s="7"/>
      <c r="FSM103" s="7"/>
      <c r="FSN103" s="4"/>
      <c r="FSS103" s="7"/>
      <c r="FST103" s="7"/>
      <c r="FSU103" s="7"/>
      <c r="FSV103" s="4"/>
      <c r="FTA103" s="7"/>
      <c r="FTB103" s="7"/>
      <c r="FTC103" s="7"/>
      <c r="FTD103" s="4"/>
      <c r="FTI103" s="7"/>
      <c r="FTJ103" s="7"/>
      <c r="FTK103" s="7"/>
      <c r="FTL103" s="4"/>
      <c r="FTQ103" s="7"/>
      <c r="FTR103" s="7"/>
      <c r="FTS103" s="7"/>
      <c r="FTT103" s="4"/>
      <c r="FTY103" s="7"/>
      <c r="FTZ103" s="7"/>
      <c r="FUA103" s="7"/>
      <c r="FUB103" s="4"/>
      <c r="FUG103" s="7"/>
      <c r="FUH103" s="7"/>
      <c r="FUI103" s="7"/>
      <c r="FUJ103" s="4"/>
      <c r="FUO103" s="7"/>
      <c r="FUP103" s="7"/>
      <c r="FUQ103" s="7"/>
      <c r="FUR103" s="4"/>
      <c r="FUW103" s="7"/>
      <c r="FUX103" s="7"/>
      <c r="FUY103" s="7"/>
      <c r="FUZ103" s="4"/>
      <c r="FVE103" s="7"/>
      <c r="FVF103" s="7"/>
      <c r="FVG103" s="7"/>
      <c r="FVH103" s="4"/>
      <c r="FVM103" s="7"/>
      <c r="FVN103" s="7"/>
      <c r="FVO103" s="7"/>
      <c r="FVP103" s="4"/>
      <c r="FVU103" s="7"/>
      <c r="FVV103" s="7"/>
      <c r="FVW103" s="7"/>
      <c r="FVX103" s="4"/>
      <c r="FWC103" s="7"/>
      <c r="FWD103" s="7"/>
      <c r="FWE103" s="7"/>
      <c r="FWF103" s="4"/>
      <c r="FWK103" s="7"/>
      <c r="FWL103" s="7"/>
      <c r="FWM103" s="7"/>
      <c r="FWN103" s="4"/>
      <c r="FWS103" s="7"/>
      <c r="FWT103" s="7"/>
      <c r="FWU103" s="7"/>
      <c r="FWV103" s="4"/>
      <c r="FXA103" s="7"/>
      <c r="FXB103" s="7"/>
      <c r="FXC103" s="7"/>
      <c r="FXD103" s="4"/>
      <c r="FXI103" s="7"/>
      <c r="FXJ103" s="7"/>
      <c r="FXK103" s="7"/>
      <c r="FXL103" s="4"/>
      <c r="FXQ103" s="7"/>
      <c r="FXR103" s="7"/>
      <c r="FXS103" s="7"/>
      <c r="FXT103" s="4"/>
      <c r="FXY103" s="7"/>
      <c r="FXZ103" s="7"/>
      <c r="FYA103" s="7"/>
      <c r="FYB103" s="4"/>
      <c r="FYG103" s="7"/>
      <c r="FYH103" s="7"/>
      <c r="FYI103" s="7"/>
      <c r="FYJ103" s="4"/>
      <c r="FYO103" s="7"/>
      <c r="FYP103" s="7"/>
      <c r="FYQ103" s="7"/>
      <c r="FYR103" s="4"/>
      <c r="FYW103" s="7"/>
      <c r="FYX103" s="7"/>
      <c r="FYY103" s="7"/>
      <c r="FYZ103" s="4"/>
      <c r="FZE103" s="7"/>
      <c r="FZF103" s="7"/>
      <c r="FZG103" s="7"/>
      <c r="FZH103" s="4"/>
      <c r="FZM103" s="7"/>
      <c r="FZN103" s="7"/>
      <c r="FZO103" s="7"/>
      <c r="FZP103" s="4"/>
      <c r="FZU103" s="7"/>
      <c r="FZV103" s="7"/>
      <c r="FZW103" s="7"/>
      <c r="FZX103" s="4"/>
      <c r="GAC103" s="7"/>
      <c r="GAD103" s="7"/>
      <c r="GAE103" s="7"/>
      <c r="GAF103" s="4"/>
      <c r="GAK103" s="7"/>
      <c r="GAL103" s="7"/>
      <c r="GAM103" s="7"/>
      <c r="GAN103" s="4"/>
      <c r="GAS103" s="7"/>
      <c r="GAT103" s="7"/>
      <c r="GAU103" s="7"/>
      <c r="GAV103" s="4"/>
      <c r="GBA103" s="7"/>
      <c r="GBB103" s="7"/>
      <c r="GBC103" s="7"/>
      <c r="GBD103" s="4"/>
      <c r="GBI103" s="7"/>
      <c r="GBJ103" s="7"/>
      <c r="GBK103" s="7"/>
      <c r="GBL103" s="4"/>
      <c r="GBQ103" s="7"/>
      <c r="GBR103" s="7"/>
      <c r="GBS103" s="7"/>
      <c r="GBT103" s="4"/>
      <c r="GBY103" s="7"/>
      <c r="GBZ103" s="7"/>
      <c r="GCA103" s="7"/>
      <c r="GCB103" s="4"/>
      <c r="GCG103" s="7"/>
      <c r="GCH103" s="7"/>
      <c r="GCI103" s="7"/>
      <c r="GCJ103" s="4"/>
      <c r="GCO103" s="7"/>
      <c r="GCP103" s="7"/>
      <c r="GCQ103" s="7"/>
      <c r="GCR103" s="4"/>
      <c r="GCW103" s="7"/>
      <c r="GCX103" s="7"/>
      <c r="GCY103" s="7"/>
      <c r="GCZ103" s="4"/>
      <c r="GDE103" s="7"/>
      <c r="GDF103" s="7"/>
      <c r="GDG103" s="7"/>
      <c r="GDH103" s="4"/>
      <c r="GDM103" s="7"/>
      <c r="GDN103" s="7"/>
      <c r="GDO103" s="7"/>
      <c r="GDP103" s="4"/>
      <c r="GDU103" s="7"/>
      <c r="GDV103" s="7"/>
      <c r="GDW103" s="7"/>
      <c r="GDX103" s="4"/>
      <c r="GEC103" s="7"/>
      <c r="GED103" s="7"/>
      <c r="GEE103" s="7"/>
      <c r="GEF103" s="4"/>
      <c r="GEK103" s="7"/>
      <c r="GEL103" s="7"/>
      <c r="GEM103" s="7"/>
      <c r="GEN103" s="4"/>
      <c r="GES103" s="7"/>
      <c r="GET103" s="7"/>
      <c r="GEU103" s="7"/>
      <c r="GEV103" s="4"/>
      <c r="GFA103" s="7"/>
      <c r="GFB103" s="7"/>
      <c r="GFC103" s="7"/>
      <c r="GFD103" s="4"/>
      <c r="GFI103" s="7"/>
      <c r="GFJ103" s="7"/>
      <c r="GFK103" s="7"/>
      <c r="GFL103" s="4"/>
      <c r="GFQ103" s="7"/>
      <c r="GFR103" s="7"/>
      <c r="GFS103" s="7"/>
      <c r="GFT103" s="4"/>
      <c r="GFY103" s="7"/>
      <c r="GFZ103" s="7"/>
      <c r="GGA103" s="7"/>
      <c r="GGB103" s="4"/>
      <c r="GGG103" s="7"/>
      <c r="GGH103" s="7"/>
      <c r="GGI103" s="7"/>
      <c r="GGJ103" s="4"/>
      <c r="GGO103" s="7"/>
      <c r="GGP103" s="7"/>
      <c r="GGQ103" s="7"/>
      <c r="GGR103" s="4"/>
      <c r="GGW103" s="7"/>
      <c r="GGX103" s="7"/>
      <c r="GGY103" s="7"/>
      <c r="GGZ103" s="4"/>
      <c r="GHE103" s="7"/>
      <c r="GHF103" s="7"/>
      <c r="GHG103" s="7"/>
      <c r="GHH103" s="4"/>
      <c r="GHM103" s="7"/>
      <c r="GHN103" s="7"/>
      <c r="GHO103" s="7"/>
      <c r="GHP103" s="4"/>
      <c r="GHU103" s="7"/>
      <c r="GHV103" s="7"/>
      <c r="GHW103" s="7"/>
      <c r="GHX103" s="4"/>
      <c r="GIC103" s="7"/>
      <c r="GID103" s="7"/>
      <c r="GIE103" s="7"/>
      <c r="GIF103" s="4"/>
      <c r="GIK103" s="7"/>
      <c r="GIL103" s="7"/>
      <c r="GIM103" s="7"/>
      <c r="GIN103" s="4"/>
      <c r="GIS103" s="7"/>
      <c r="GIT103" s="7"/>
      <c r="GIU103" s="7"/>
      <c r="GIV103" s="4"/>
      <c r="GJA103" s="7"/>
      <c r="GJB103" s="7"/>
      <c r="GJC103" s="7"/>
      <c r="GJD103" s="4"/>
      <c r="GJI103" s="7"/>
      <c r="GJJ103" s="7"/>
      <c r="GJK103" s="7"/>
      <c r="GJL103" s="4"/>
      <c r="GJQ103" s="7"/>
      <c r="GJR103" s="7"/>
      <c r="GJS103" s="7"/>
      <c r="GJT103" s="4"/>
      <c r="GJY103" s="7"/>
      <c r="GJZ103" s="7"/>
      <c r="GKA103" s="7"/>
      <c r="GKB103" s="4"/>
      <c r="GKG103" s="7"/>
      <c r="GKH103" s="7"/>
      <c r="GKI103" s="7"/>
      <c r="GKJ103" s="4"/>
      <c r="GKO103" s="7"/>
      <c r="GKP103" s="7"/>
      <c r="GKQ103" s="7"/>
      <c r="GKR103" s="4"/>
      <c r="GKW103" s="7"/>
      <c r="GKX103" s="7"/>
      <c r="GKY103" s="7"/>
      <c r="GKZ103" s="4"/>
      <c r="GLE103" s="7"/>
      <c r="GLF103" s="7"/>
      <c r="GLG103" s="7"/>
      <c r="GLH103" s="4"/>
      <c r="GLM103" s="7"/>
      <c r="GLN103" s="7"/>
      <c r="GLO103" s="7"/>
      <c r="GLP103" s="4"/>
      <c r="GLU103" s="7"/>
      <c r="GLV103" s="7"/>
      <c r="GLW103" s="7"/>
      <c r="GLX103" s="4"/>
      <c r="GMC103" s="7"/>
      <c r="GMD103" s="7"/>
      <c r="GME103" s="7"/>
      <c r="GMF103" s="4"/>
      <c r="GMK103" s="7"/>
      <c r="GML103" s="7"/>
      <c r="GMM103" s="7"/>
      <c r="GMN103" s="4"/>
      <c r="GMS103" s="7"/>
      <c r="GMT103" s="7"/>
      <c r="GMU103" s="7"/>
      <c r="GMV103" s="4"/>
      <c r="GNA103" s="7"/>
      <c r="GNB103" s="7"/>
      <c r="GNC103" s="7"/>
      <c r="GND103" s="4"/>
      <c r="GNI103" s="7"/>
      <c r="GNJ103" s="7"/>
      <c r="GNK103" s="7"/>
      <c r="GNL103" s="4"/>
      <c r="GNQ103" s="7"/>
      <c r="GNR103" s="7"/>
      <c r="GNS103" s="7"/>
      <c r="GNT103" s="4"/>
      <c r="GNY103" s="7"/>
      <c r="GNZ103" s="7"/>
      <c r="GOA103" s="7"/>
      <c r="GOB103" s="4"/>
      <c r="GOG103" s="7"/>
      <c r="GOH103" s="7"/>
      <c r="GOI103" s="7"/>
      <c r="GOJ103" s="4"/>
      <c r="GOO103" s="7"/>
      <c r="GOP103" s="7"/>
      <c r="GOQ103" s="7"/>
      <c r="GOR103" s="4"/>
      <c r="GOW103" s="7"/>
      <c r="GOX103" s="7"/>
      <c r="GOY103" s="7"/>
      <c r="GOZ103" s="4"/>
      <c r="GPE103" s="7"/>
      <c r="GPF103" s="7"/>
      <c r="GPG103" s="7"/>
      <c r="GPH103" s="4"/>
      <c r="GPM103" s="7"/>
      <c r="GPN103" s="7"/>
      <c r="GPO103" s="7"/>
      <c r="GPP103" s="4"/>
      <c r="GPU103" s="7"/>
      <c r="GPV103" s="7"/>
      <c r="GPW103" s="7"/>
      <c r="GPX103" s="4"/>
      <c r="GQC103" s="7"/>
      <c r="GQD103" s="7"/>
      <c r="GQE103" s="7"/>
      <c r="GQF103" s="4"/>
      <c r="GQK103" s="7"/>
      <c r="GQL103" s="7"/>
      <c r="GQM103" s="7"/>
      <c r="GQN103" s="4"/>
      <c r="GQS103" s="7"/>
      <c r="GQT103" s="7"/>
      <c r="GQU103" s="7"/>
      <c r="GQV103" s="4"/>
      <c r="GRA103" s="7"/>
      <c r="GRB103" s="7"/>
      <c r="GRC103" s="7"/>
      <c r="GRD103" s="4"/>
      <c r="GRI103" s="7"/>
      <c r="GRJ103" s="7"/>
      <c r="GRK103" s="7"/>
      <c r="GRL103" s="4"/>
      <c r="GRQ103" s="7"/>
      <c r="GRR103" s="7"/>
      <c r="GRS103" s="7"/>
      <c r="GRT103" s="4"/>
      <c r="GRY103" s="7"/>
      <c r="GRZ103" s="7"/>
      <c r="GSA103" s="7"/>
      <c r="GSB103" s="4"/>
      <c r="GSG103" s="7"/>
      <c r="GSH103" s="7"/>
      <c r="GSI103" s="7"/>
      <c r="GSJ103" s="4"/>
      <c r="GSO103" s="7"/>
      <c r="GSP103" s="7"/>
      <c r="GSQ103" s="7"/>
      <c r="GSR103" s="4"/>
      <c r="GSW103" s="7"/>
      <c r="GSX103" s="7"/>
      <c r="GSY103" s="7"/>
      <c r="GSZ103" s="4"/>
      <c r="GTE103" s="7"/>
      <c r="GTF103" s="7"/>
      <c r="GTG103" s="7"/>
      <c r="GTH103" s="4"/>
      <c r="GTM103" s="7"/>
      <c r="GTN103" s="7"/>
      <c r="GTO103" s="7"/>
      <c r="GTP103" s="4"/>
      <c r="GTU103" s="7"/>
      <c r="GTV103" s="7"/>
      <c r="GTW103" s="7"/>
      <c r="GTX103" s="4"/>
      <c r="GUC103" s="7"/>
      <c r="GUD103" s="7"/>
      <c r="GUE103" s="7"/>
      <c r="GUF103" s="4"/>
      <c r="GUK103" s="7"/>
      <c r="GUL103" s="7"/>
      <c r="GUM103" s="7"/>
      <c r="GUN103" s="4"/>
      <c r="GUS103" s="7"/>
      <c r="GUT103" s="7"/>
      <c r="GUU103" s="7"/>
      <c r="GUV103" s="4"/>
      <c r="GVA103" s="7"/>
      <c r="GVB103" s="7"/>
      <c r="GVC103" s="7"/>
      <c r="GVD103" s="4"/>
      <c r="GVI103" s="7"/>
      <c r="GVJ103" s="7"/>
      <c r="GVK103" s="7"/>
      <c r="GVL103" s="4"/>
      <c r="GVQ103" s="7"/>
      <c r="GVR103" s="7"/>
      <c r="GVS103" s="7"/>
      <c r="GVT103" s="4"/>
      <c r="GVY103" s="7"/>
      <c r="GVZ103" s="7"/>
      <c r="GWA103" s="7"/>
      <c r="GWB103" s="4"/>
      <c r="GWG103" s="7"/>
      <c r="GWH103" s="7"/>
      <c r="GWI103" s="7"/>
      <c r="GWJ103" s="4"/>
      <c r="GWO103" s="7"/>
      <c r="GWP103" s="7"/>
      <c r="GWQ103" s="7"/>
      <c r="GWR103" s="4"/>
      <c r="GWW103" s="7"/>
      <c r="GWX103" s="7"/>
      <c r="GWY103" s="7"/>
      <c r="GWZ103" s="4"/>
      <c r="GXE103" s="7"/>
      <c r="GXF103" s="7"/>
      <c r="GXG103" s="7"/>
      <c r="GXH103" s="4"/>
      <c r="GXM103" s="7"/>
      <c r="GXN103" s="7"/>
      <c r="GXO103" s="7"/>
      <c r="GXP103" s="4"/>
      <c r="GXU103" s="7"/>
      <c r="GXV103" s="7"/>
      <c r="GXW103" s="7"/>
      <c r="GXX103" s="4"/>
      <c r="GYC103" s="7"/>
      <c r="GYD103" s="7"/>
      <c r="GYE103" s="7"/>
      <c r="GYF103" s="4"/>
      <c r="GYK103" s="7"/>
      <c r="GYL103" s="7"/>
      <c r="GYM103" s="7"/>
      <c r="GYN103" s="4"/>
      <c r="GYS103" s="7"/>
      <c r="GYT103" s="7"/>
      <c r="GYU103" s="7"/>
      <c r="GYV103" s="4"/>
      <c r="GZA103" s="7"/>
      <c r="GZB103" s="7"/>
      <c r="GZC103" s="7"/>
      <c r="GZD103" s="4"/>
      <c r="GZI103" s="7"/>
      <c r="GZJ103" s="7"/>
      <c r="GZK103" s="7"/>
      <c r="GZL103" s="4"/>
      <c r="GZQ103" s="7"/>
      <c r="GZR103" s="7"/>
      <c r="GZS103" s="7"/>
      <c r="GZT103" s="4"/>
      <c r="GZY103" s="7"/>
      <c r="GZZ103" s="7"/>
      <c r="HAA103" s="7"/>
      <c r="HAB103" s="4"/>
      <c r="HAG103" s="7"/>
      <c r="HAH103" s="7"/>
      <c r="HAI103" s="7"/>
      <c r="HAJ103" s="4"/>
      <c r="HAO103" s="7"/>
      <c r="HAP103" s="7"/>
      <c r="HAQ103" s="7"/>
      <c r="HAR103" s="4"/>
      <c r="HAW103" s="7"/>
      <c r="HAX103" s="7"/>
      <c r="HAY103" s="7"/>
      <c r="HAZ103" s="4"/>
      <c r="HBE103" s="7"/>
      <c r="HBF103" s="7"/>
      <c r="HBG103" s="7"/>
      <c r="HBH103" s="4"/>
      <c r="HBM103" s="7"/>
      <c r="HBN103" s="7"/>
      <c r="HBO103" s="7"/>
      <c r="HBP103" s="4"/>
      <c r="HBU103" s="7"/>
      <c r="HBV103" s="7"/>
      <c r="HBW103" s="7"/>
      <c r="HBX103" s="4"/>
      <c r="HCC103" s="7"/>
      <c r="HCD103" s="7"/>
      <c r="HCE103" s="7"/>
      <c r="HCF103" s="4"/>
      <c r="HCK103" s="7"/>
      <c r="HCL103" s="7"/>
      <c r="HCM103" s="7"/>
      <c r="HCN103" s="4"/>
      <c r="HCS103" s="7"/>
      <c r="HCT103" s="7"/>
      <c r="HCU103" s="7"/>
      <c r="HCV103" s="4"/>
      <c r="HDA103" s="7"/>
      <c r="HDB103" s="7"/>
      <c r="HDC103" s="7"/>
      <c r="HDD103" s="4"/>
      <c r="HDI103" s="7"/>
      <c r="HDJ103" s="7"/>
      <c r="HDK103" s="7"/>
      <c r="HDL103" s="4"/>
      <c r="HDQ103" s="7"/>
      <c r="HDR103" s="7"/>
      <c r="HDS103" s="7"/>
      <c r="HDT103" s="4"/>
      <c r="HDY103" s="7"/>
      <c r="HDZ103" s="7"/>
      <c r="HEA103" s="7"/>
      <c r="HEB103" s="4"/>
      <c r="HEG103" s="7"/>
      <c r="HEH103" s="7"/>
      <c r="HEI103" s="7"/>
      <c r="HEJ103" s="4"/>
      <c r="HEO103" s="7"/>
      <c r="HEP103" s="7"/>
      <c r="HEQ103" s="7"/>
      <c r="HER103" s="4"/>
      <c r="HEW103" s="7"/>
      <c r="HEX103" s="7"/>
      <c r="HEY103" s="7"/>
      <c r="HEZ103" s="4"/>
      <c r="HFE103" s="7"/>
      <c r="HFF103" s="7"/>
      <c r="HFG103" s="7"/>
      <c r="HFH103" s="4"/>
      <c r="HFM103" s="7"/>
      <c r="HFN103" s="7"/>
      <c r="HFO103" s="7"/>
      <c r="HFP103" s="4"/>
      <c r="HFU103" s="7"/>
      <c r="HFV103" s="7"/>
      <c r="HFW103" s="7"/>
      <c r="HFX103" s="4"/>
      <c r="HGC103" s="7"/>
      <c r="HGD103" s="7"/>
      <c r="HGE103" s="7"/>
      <c r="HGF103" s="4"/>
      <c r="HGK103" s="7"/>
      <c r="HGL103" s="7"/>
      <c r="HGM103" s="7"/>
      <c r="HGN103" s="4"/>
      <c r="HGS103" s="7"/>
      <c r="HGT103" s="7"/>
      <c r="HGU103" s="7"/>
      <c r="HGV103" s="4"/>
      <c r="HHA103" s="7"/>
      <c r="HHB103" s="7"/>
      <c r="HHC103" s="7"/>
      <c r="HHD103" s="4"/>
      <c r="HHI103" s="7"/>
      <c r="HHJ103" s="7"/>
      <c r="HHK103" s="7"/>
      <c r="HHL103" s="4"/>
      <c r="HHQ103" s="7"/>
      <c r="HHR103" s="7"/>
      <c r="HHS103" s="7"/>
      <c r="HHT103" s="4"/>
      <c r="HHY103" s="7"/>
      <c r="HHZ103" s="7"/>
      <c r="HIA103" s="7"/>
      <c r="HIB103" s="4"/>
      <c r="HIG103" s="7"/>
      <c r="HIH103" s="7"/>
      <c r="HII103" s="7"/>
      <c r="HIJ103" s="4"/>
      <c r="HIO103" s="7"/>
      <c r="HIP103" s="7"/>
      <c r="HIQ103" s="7"/>
      <c r="HIR103" s="4"/>
      <c r="HIW103" s="7"/>
      <c r="HIX103" s="7"/>
      <c r="HIY103" s="7"/>
      <c r="HIZ103" s="4"/>
      <c r="HJE103" s="7"/>
      <c r="HJF103" s="7"/>
      <c r="HJG103" s="7"/>
      <c r="HJH103" s="4"/>
      <c r="HJM103" s="7"/>
      <c r="HJN103" s="7"/>
      <c r="HJO103" s="7"/>
      <c r="HJP103" s="4"/>
      <c r="HJU103" s="7"/>
      <c r="HJV103" s="7"/>
      <c r="HJW103" s="7"/>
      <c r="HJX103" s="4"/>
      <c r="HKC103" s="7"/>
      <c r="HKD103" s="7"/>
      <c r="HKE103" s="7"/>
      <c r="HKF103" s="4"/>
      <c r="HKK103" s="7"/>
      <c r="HKL103" s="7"/>
      <c r="HKM103" s="7"/>
      <c r="HKN103" s="4"/>
      <c r="HKS103" s="7"/>
      <c r="HKT103" s="7"/>
      <c r="HKU103" s="7"/>
      <c r="HKV103" s="4"/>
      <c r="HLA103" s="7"/>
      <c r="HLB103" s="7"/>
      <c r="HLC103" s="7"/>
      <c r="HLD103" s="4"/>
      <c r="HLI103" s="7"/>
      <c r="HLJ103" s="7"/>
      <c r="HLK103" s="7"/>
      <c r="HLL103" s="4"/>
      <c r="HLQ103" s="7"/>
      <c r="HLR103" s="7"/>
      <c r="HLS103" s="7"/>
      <c r="HLT103" s="4"/>
      <c r="HLY103" s="7"/>
      <c r="HLZ103" s="7"/>
      <c r="HMA103" s="7"/>
      <c r="HMB103" s="4"/>
      <c r="HMG103" s="7"/>
      <c r="HMH103" s="7"/>
      <c r="HMI103" s="7"/>
      <c r="HMJ103" s="4"/>
      <c r="HMO103" s="7"/>
      <c r="HMP103" s="7"/>
      <c r="HMQ103" s="7"/>
      <c r="HMR103" s="4"/>
      <c r="HMW103" s="7"/>
      <c r="HMX103" s="7"/>
      <c r="HMY103" s="7"/>
      <c r="HMZ103" s="4"/>
      <c r="HNE103" s="7"/>
      <c r="HNF103" s="7"/>
      <c r="HNG103" s="7"/>
      <c r="HNH103" s="4"/>
      <c r="HNM103" s="7"/>
      <c r="HNN103" s="7"/>
      <c r="HNO103" s="7"/>
      <c r="HNP103" s="4"/>
      <c r="HNU103" s="7"/>
      <c r="HNV103" s="7"/>
      <c r="HNW103" s="7"/>
      <c r="HNX103" s="4"/>
      <c r="HOC103" s="7"/>
      <c r="HOD103" s="7"/>
      <c r="HOE103" s="7"/>
      <c r="HOF103" s="4"/>
      <c r="HOK103" s="7"/>
      <c r="HOL103" s="7"/>
      <c r="HOM103" s="7"/>
      <c r="HON103" s="4"/>
      <c r="HOS103" s="7"/>
      <c r="HOT103" s="7"/>
      <c r="HOU103" s="7"/>
      <c r="HOV103" s="4"/>
      <c r="HPA103" s="7"/>
      <c r="HPB103" s="7"/>
      <c r="HPC103" s="7"/>
      <c r="HPD103" s="4"/>
      <c r="HPI103" s="7"/>
      <c r="HPJ103" s="7"/>
      <c r="HPK103" s="7"/>
      <c r="HPL103" s="4"/>
      <c r="HPQ103" s="7"/>
      <c r="HPR103" s="7"/>
      <c r="HPS103" s="7"/>
      <c r="HPT103" s="4"/>
      <c r="HPY103" s="7"/>
      <c r="HPZ103" s="7"/>
      <c r="HQA103" s="7"/>
      <c r="HQB103" s="4"/>
      <c r="HQG103" s="7"/>
      <c r="HQH103" s="7"/>
      <c r="HQI103" s="7"/>
      <c r="HQJ103" s="4"/>
      <c r="HQO103" s="7"/>
      <c r="HQP103" s="7"/>
      <c r="HQQ103" s="7"/>
      <c r="HQR103" s="4"/>
      <c r="HQW103" s="7"/>
      <c r="HQX103" s="7"/>
      <c r="HQY103" s="7"/>
      <c r="HQZ103" s="4"/>
      <c r="HRE103" s="7"/>
      <c r="HRF103" s="7"/>
      <c r="HRG103" s="7"/>
      <c r="HRH103" s="4"/>
      <c r="HRM103" s="7"/>
      <c r="HRN103" s="7"/>
      <c r="HRO103" s="7"/>
      <c r="HRP103" s="4"/>
      <c r="HRU103" s="7"/>
      <c r="HRV103" s="7"/>
      <c r="HRW103" s="7"/>
      <c r="HRX103" s="4"/>
      <c r="HSC103" s="7"/>
      <c r="HSD103" s="7"/>
      <c r="HSE103" s="7"/>
      <c r="HSF103" s="4"/>
      <c r="HSK103" s="7"/>
      <c r="HSL103" s="7"/>
      <c r="HSM103" s="7"/>
      <c r="HSN103" s="4"/>
      <c r="HSS103" s="7"/>
      <c r="HST103" s="7"/>
      <c r="HSU103" s="7"/>
      <c r="HSV103" s="4"/>
      <c r="HTA103" s="7"/>
      <c r="HTB103" s="7"/>
      <c r="HTC103" s="7"/>
      <c r="HTD103" s="4"/>
      <c r="HTI103" s="7"/>
      <c r="HTJ103" s="7"/>
      <c r="HTK103" s="7"/>
      <c r="HTL103" s="4"/>
      <c r="HTQ103" s="7"/>
      <c r="HTR103" s="7"/>
      <c r="HTS103" s="7"/>
      <c r="HTT103" s="4"/>
      <c r="HTY103" s="7"/>
      <c r="HTZ103" s="7"/>
      <c r="HUA103" s="7"/>
      <c r="HUB103" s="4"/>
      <c r="HUG103" s="7"/>
      <c r="HUH103" s="7"/>
      <c r="HUI103" s="7"/>
      <c r="HUJ103" s="4"/>
      <c r="HUO103" s="7"/>
      <c r="HUP103" s="7"/>
      <c r="HUQ103" s="7"/>
      <c r="HUR103" s="4"/>
      <c r="HUW103" s="7"/>
      <c r="HUX103" s="7"/>
      <c r="HUY103" s="7"/>
      <c r="HUZ103" s="4"/>
      <c r="HVE103" s="7"/>
      <c r="HVF103" s="7"/>
      <c r="HVG103" s="7"/>
      <c r="HVH103" s="4"/>
      <c r="HVM103" s="7"/>
      <c r="HVN103" s="7"/>
      <c r="HVO103" s="7"/>
      <c r="HVP103" s="4"/>
      <c r="HVU103" s="7"/>
      <c r="HVV103" s="7"/>
      <c r="HVW103" s="7"/>
      <c r="HVX103" s="4"/>
      <c r="HWC103" s="7"/>
      <c r="HWD103" s="7"/>
      <c r="HWE103" s="7"/>
      <c r="HWF103" s="4"/>
      <c r="HWK103" s="7"/>
      <c r="HWL103" s="7"/>
      <c r="HWM103" s="7"/>
      <c r="HWN103" s="4"/>
      <c r="HWS103" s="7"/>
      <c r="HWT103" s="7"/>
      <c r="HWU103" s="7"/>
      <c r="HWV103" s="4"/>
      <c r="HXA103" s="7"/>
      <c r="HXB103" s="7"/>
      <c r="HXC103" s="7"/>
      <c r="HXD103" s="4"/>
      <c r="HXI103" s="7"/>
      <c r="HXJ103" s="7"/>
      <c r="HXK103" s="7"/>
      <c r="HXL103" s="4"/>
      <c r="HXQ103" s="7"/>
      <c r="HXR103" s="7"/>
      <c r="HXS103" s="7"/>
      <c r="HXT103" s="4"/>
      <c r="HXY103" s="7"/>
      <c r="HXZ103" s="7"/>
      <c r="HYA103" s="7"/>
      <c r="HYB103" s="4"/>
      <c r="HYG103" s="7"/>
      <c r="HYH103" s="7"/>
      <c r="HYI103" s="7"/>
      <c r="HYJ103" s="4"/>
      <c r="HYO103" s="7"/>
      <c r="HYP103" s="7"/>
      <c r="HYQ103" s="7"/>
      <c r="HYR103" s="4"/>
      <c r="HYW103" s="7"/>
      <c r="HYX103" s="7"/>
      <c r="HYY103" s="7"/>
      <c r="HYZ103" s="4"/>
      <c r="HZE103" s="7"/>
      <c r="HZF103" s="7"/>
      <c r="HZG103" s="7"/>
      <c r="HZH103" s="4"/>
      <c r="HZM103" s="7"/>
      <c r="HZN103" s="7"/>
      <c r="HZO103" s="7"/>
      <c r="HZP103" s="4"/>
      <c r="HZU103" s="7"/>
      <c r="HZV103" s="7"/>
      <c r="HZW103" s="7"/>
      <c r="HZX103" s="4"/>
      <c r="IAC103" s="7"/>
      <c r="IAD103" s="7"/>
      <c r="IAE103" s="7"/>
      <c r="IAF103" s="4"/>
      <c r="IAK103" s="7"/>
      <c r="IAL103" s="7"/>
      <c r="IAM103" s="7"/>
      <c r="IAN103" s="4"/>
      <c r="IAS103" s="7"/>
      <c r="IAT103" s="7"/>
      <c r="IAU103" s="7"/>
      <c r="IAV103" s="4"/>
      <c r="IBA103" s="7"/>
      <c r="IBB103" s="7"/>
      <c r="IBC103" s="7"/>
      <c r="IBD103" s="4"/>
      <c r="IBI103" s="7"/>
      <c r="IBJ103" s="7"/>
      <c r="IBK103" s="7"/>
      <c r="IBL103" s="4"/>
      <c r="IBQ103" s="7"/>
      <c r="IBR103" s="7"/>
      <c r="IBS103" s="7"/>
      <c r="IBT103" s="4"/>
      <c r="IBY103" s="7"/>
      <c r="IBZ103" s="7"/>
      <c r="ICA103" s="7"/>
      <c r="ICB103" s="4"/>
      <c r="ICG103" s="7"/>
      <c r="ICH103" s="7"/>
      <c r="ICI103" s="7"/>
      <c r="ICJ103" s="4"/>
      <c r="ICO103" s="7"/>
      <c r="ICP103" s="7"/>
      <c r="ICQ103" s="7"/>
      <c r="ICR103" s="4"/>
      <c r="ICW103" s="7"/>
      <c r="ICX103" s="7"/>
      <c r="ICY103" s="7"/>
      <c r="ICZ103" s="4"/>
      <c r="IDE103" s="7"/>
      <c r="IDF103" s="7"/>
      <c r="IDG103" s="7"/>
      <c r="IDH103" s="4"/>
      <c r="IDM103" s="7"/>
      <c r="IDN103" s="7"/>
      <c r="IDO103" s="7"/>
      <c r="IDP103" s="4"/>
      <c r="IDU103" s="7"/>
      <c r="IDV103" s="7"/>
      <c r="IDW103" s="7"/>
      <c r="IDX103" s="4"/>
      <c r="IEC103" s="7"/>
      <c r="IED103" s="7"/>
      <c r="IEE103" s="7"/>
      <c r="IEF103" s="4"/>
      <c r="IEK103" s="7"/>
      <c r="IEL103" s="7"/>
      <c r="IEM103" s="7"/>
      <c r="IEN103" s="4"/>
      <c r="IES103" s="7"/>
      <c r="IET103" s="7"/>
      <c r="IEU103" s="7"/>
      <c r="IEV103" s="4"/>
      <c r="IFA103" s="7"/>
      <c r="IFB103" s="7"/>
      <c r="IFC103" s="7"/>
      <c r="IFD103" s="4"/>
      <c r="IFI103" s="7"/>
      <c r="IFJ103" s="7"/>
      <c r="IFK103" s="7"/>
      <c r="IFL103" s="4"/>
      <c r="IFQ103" s="7"/>
      <c r="IFR103" s="7"/>
      <c r="IFS103" s="7"/>
      <c r="IFT103" s="4"/>
      <c r="IFY103" s="7"/>
      <c r="IFZ103" s="7"/>
      <c r="IGA103" s="7"/>
      <c r="IGB103" s="4"/>
      <c r="IGG103" s="7"/>
      <c r="IGH103" s="7"/>
      <c r="IGI103" s="7"/>
      <c r="IGJ103" s="4"/>
      <c r="IGO103" s="7"/>
      <c r="IGP103" s="7"/>
      <c r="IGQ103" s="7"/>
      <c r="IGR103" s="4"/>
      <c r="IGW103" s="7"/>
      <c r="IGX103" s="7"/>
      <c r="IGY103" s="7"/>
      <c r="IGZ103" s="4"/>
      <c r="IHE103" s="7"/>
      <c r="IHF103" s="7"/>
      <c r="IHG103" s="7"/>
      <c r="IHH103" s="4"/>
      <c r="IHM103" s="7"/>
      <c r="IHN103" s="7"/>
      <c r="IHO103" s="7"/>
      <c r="IHP103" s="4"/>
      <c r="IHU103" s="7"/>
      <c r="IHV103" s="7"/>
      <c r="IHW103" s="7"/>
      <c r="IHX103" s="4"/>
      <c r="IIC103" s="7"/>
      <c r="IID103" s="7"/>
      <c r="IIE103" s="7"/>
      <c r="IIF103" s="4"/>
      <c r="IIK103" s="7"/>
      <c r="IIL103" s="7"/>
      <c r="IIM103" s="7"/>
      <c r="IIN103" s="4"/>
      <c r="IIS103" s="7"/>
      <c r="IIT103" s="7"/>
      <c r="IIU103" s="7"/>
      <c r="IIV103" s="4"/>
      <c r="IJA103" s="7"/>
      <c r="IJB103" s="7"/>
      <c r="IJC103" s="7"/>
      <c r="IJD103" s="4"/>
      <c r="IJI103" s="7"/>
      <c r="IJJ103" s="7"/>
      <c r="IJK103" s="7"/>
      <c r="IJL103" s="4"/>
      <c r="IJQ103" s="7"/>
      <c r="IJR103" s="7"/>
      <c r="IJS103" s="7"/>
      <c r="IJT103" s="4"/>
      <c r="IJY103" s="7"/>
      <c r="IJZ103" s="7"/>
      <c r="IKA103" s="7"/>
      <c r="IKB103" s="4"/>
      <c r="IKG103" s="7"/>
      <c r="IKH103" s="7"/>
      <c r="IKI103" s="7"/>
      <c r="IKJ103" s="4"/>
      <c r="IKO103" s="7"/>
      <c r="IKP103" s="7"/>
      <c r="IKQ103" s="7"/>
      <c r="IKR103" s="4"/>
      <c r="IKW103" s="7"/>
      <c r="IKX103" s="7"/>
      <c r="IKY103" s="7"/>
      <c r="IKZ103" s="4"/>
      <c r="ILE103" s="7"/>
      <c r="ILF103" s="7"/>
      <c r="ILG103" s="7"/>
      <c r="ILH103" s="4"/>
      <c r="ILM103" s="7"/>
      <c r="ILN103" s="7"/>
      <c r="ILO103" s="7"/>
      <c r="ILP103" s="4"/>
      <c r="ILU103" s="7"/>
      <c r="ILV103" s="7"/>
      <c r="ILW103" s="7"/>
      <c r="ILX103" s="4"/>
      <c r="IMC103" s="7"/>
      <c r="IMD103" s="7"/>
      <c r="IME103" s="7"/>
      <c r="IMF103" s="4"/>
      <c r="IMK103" s="7"/>
      <c r="IML103" s="7"/>
      <c r="IMM103" s="7"/>
      <c r="IMN103" s="4"/>
      <c r="IMS103" s="7"/>
      <c r="IMT103" s="7"/>
      <c r="IMU103" s="7"/>
      <c r="IMV103" s="4"/>
      <c r="INA103" s="7"/>
      <c r="INB103" s="7"/>
      <c r="INC103" s="7"/>
      <c r="IND103" s="4"/>
      <c r="INI103" s="7"/>
      <c r="INJ103" s="7"/>
      <c r="INK103" s="7"/>
      <c r="INL103" s="4"/>
      <c r="INQ103" s="7"/>
      <c r="INR103" s="7"/>
      <c r="INS103" s="7"/>
      <c r="INT103" s="4"/>
      <c r="INY103" s="7"/>
      <c r="INZ103" s="7"/>
      <c r="IOA103" s="7"/>
      <c r="IOB103" s="4"/>
      <c r="IOG103" s="7"/>
      <c r="IOH103" s="7"/>
      <c r="IOI103" s="7"/>
      <c r="IOJ103" s="4"/>
      <c r="IOO103" s="7"/>
      <c r="IOP103" s="7"/>
      <c r="IOQ103" s="7"/>
      <c r="IOR103" s="4"/>
      <c r="IOW103" s="7"/>
      <c r="IOX103" s="7"/>
      <c r="IOY103" s="7"/>
      <c r="IOZ103" s="4"/>
      <c r="IPE103" s="7"/>
      <c r="IPF103" s="7"/>
      <c r="IPG103" s="7"/>
      <c r="IPH103" s="4"/>
      <c r="IPM103" s="7"/>
      <c r="IPN103" s="7"/>
      <c r="IPO103" s="7"/>
      <c r="IPP103" s="4"/>
      <c r="IPU103" s="7"/>
      <c r="IPV103" s="7"/>
      <c r="IPW103" s="7"/>
      <c r="IPX103" s="4"/>
      <c r="IQC103" s="7"/>
      <c r="IQD103" s="7"/>
      <c r="IQE103" s="7"/>
      <c r="IQF103" s="4"/>
      <c r="IQK103" s="7"/>
      <c r="IQL103" s="7"/>
      <c r="IQM103" s="7"/>
      <c r="IQN103" s="4"/>
      <c r="IQS103" s="7"/>
      <c r="IQT103" s="7"/>
      <c r="IQU103" s="7"/>
      <c r="IQV103" s="4"/>
      <c r="IRA103" s="7"/>
      <c r="IRB103" s="7"/>
      <c r="IRC103" s="7"/>
      <c r="IRD103" s="4"/>
      <c r="IRI103" s="7"/>
      <c r="IRJ103" s="7"/>
      <c r="IRK103" s="7"/>
      <c r="IRL103" s="4"/>
      <c r="IRQ103" s="7"/>
      <c r="IRR103" s="7"/>
      <c r="IRS103" s="7"/>
      <c r="IRT103" s="4"/>
      <c r="IRY103" s="7"/>
      <c r="IRZ103" s="7"/>
      <c r="ISA103" s="7"/>
      <c r="ISB103" s="4"/>
      <c r="ISG103" s="7"/>
      <c r="ISH103" s="7"/>
      <c r="ISI103" s="7"/>
      <c r="ISJ103" s="4"/>
      <c r="ISO103" s="7"/>
      <c r="ISP103" s="7"/>
      <c r="ISQ103" s="7"/>
      <c r="ISR103" s="4"/>
      <c r="ISW103" s="7"/>
      <c r="ISX103" s="7"/>
      <c r="ISY103" s="7"/>
      <c r="ISZ103" s="4"/>
      <c r="ITE103" s="7"/>
      <c r="ITF103" s="7"/>
      <c r="ITG103" s="7"/>
      <c r="ITH103" s="4"/>
      <c r="ITM103" s="7"/>
      <c r="ITN103" s="7"/>
      <c r="ITO103" s="7"/>
      <c r="ITP103" s="4"/>
      <c r="ITU103" s="7"/>
      <c r="ITV103" s="7"/>
      <c r="ITW103" s="7"/>
      <c r="ITX103" s="4"/>
      <c r="IUC103" s="7"/>
      <c r="IUD103" s="7"/>
      <c r="IUE103" s="7"/>
      <c r="IUF103" s="4"/>
      <c r="IUK103" s="7"/>
      <c r="IUL103" s="7"/>
      <c r="IUM103" s="7"/>
      <c r="IUN103" s="4"/>
      <c r="IUS103" s="7"/>
      <c r="IUT103" s="7"/>
      <c r="IUU103" s="7"/>
      <c r="IUV103" s="4"/>
      <c r="IVA103" s="7"/>
      <c r="IVB103" s="7"/>
      <c r="IVC103" s="7"/>
      <c r="IVD103" s="4"/>
      <c r="IVI103" s="7"/>
      <c r="IVJ103" s="7"/>
      <c r="IVK103" s="7"/>
      <c r="IVL103" s="4"/>
      <c r="IVQ103" s="7"/>
      <c r="IVR103" s="7"/>
      <c r="IVS103" s="7"/>
      <c r="IVT103" s="4"/>
      <c r="IVY103" s="7"/>
      <c r="IVZ103" s="7"/>
      <c r="IWA103" s="7"/>
      <c r="IWB103" s="4"/>
      <c r="IWG103" s="7"/>
      <c r="IWH103" s="7"/>
      <c r="IWI103" s="7"/>
      <c r="IWJ103" s="4"/>
      <c r="IWO103" s="7"/>
      <c r="IWP103" s="7"/>
      <c r="IWQ103" s="7"/>
      <c r="IWR103" s="4"/>
      <c r="IWW103" s="7"/>
      <c r="IWX103" s="7"/>
      <c r="IWY103" s="7"/>
      <c r="IWZ103" s="4"/>
      <c r="IXE103" s="7"/>
      <c r="IXF103" s="7"/>
      <c r="IXG103" s="7"/>
      <c r="IXH103" s="4"/>
      <c r="IXM103" s="7"/>
      <c r="IXN103" s="7"/>
      <c r="IXO103" s="7"/>
      <c r="IXP103" s="4"/>
      <c r="IXU103" s="7"/>
      <c r="IXV103" s="7"/>
      <c r="IXW103" s="7"/>
      <c r="IXX103" s="4"/>
      <c r="IYC103" s="7"/>
      <c r="IYD103" s="7"/>
      <c r="IYE103" s="7"/>
      <c r="IYF103" s="4"/>
      <c r="IYK103" s="7"/>
      <c r="IYL103" s="7"/>
      <c r="IYM103" s="7"/>
      <c r="IYN103" s="4"/>
      <c r="IYS103" s="7"/>
      <c r="IYT103" s="7"/>
      <c r="IYU103" s="7"/>
      <c r="IYV103" s="4"/>
      <c r="IZA103" s="7"/>
      <c r="IZB103" s="7"/>
      <c r="IZC103" s="7"/>
      <c r="IZD103" s="4"/>
      <c r="IZI103" s="7"/>
      <c r="IZJ103" s="7"/>
      <c r="IZK103" s="7"/>
      <c r="IZL103" s="4"/>
      <c r="IZQ103" s="7"/>
      <c r="IZR103" s="7"/>
      <c r="IZS103" s="7"/>
      <c r="IZT103" s="4"/>
      <c r="IZY103" s="7"/>
      <c r="IZZ103" s="7"/>
      <c r="JAA103" s="7"/>
      <c r="JAB103" s="4"/>
      <c r="JAG103" s="7"/>
      <c r="JAH103" s="7"/>
      <c r="JAI103" s="7"/>
      <c r="JAJ103" s="4"/>
      <c r="JAO103" s="7"/>
      <c r="JAP103" s="7"/>
      <c r="JAQ103" s="7"/>
      <c r="JAR103" s="4"/>
      <c r="JAW103" s="7"/>
      <c r="JAX103" s="7"/>
      <c r="JAY103" s="7"/>
      <c r="JAZ103" s="4"/>
      <c r="JBE103" s="7"/>
      <c r="JBF103" s="7"/>
      <c r="JBG103" s="7"/>
      <c r="JBH103" s="4"/>
      <c r="JBM103" s="7"/>
      <c r="JBN103" s="7"/>
      <c r="JBO103" s="7"/>
      <c r="JBP103" s="4"/>
      <c r="JBU103" s="7"/>
      <c r="JBV103" s="7"/>
      <c r="JBW103" s="7"/>
      <c r="JBX103" s="4"/>
      <c r="JCC103" s="7"/>
      <c r="JCD103" s="7"/>
      <c r="JCE103" s="7"/>
      <c r="JCF103" s="4"/>
      <c r="JCK103" s="7"/>
      <c r="JCL103" s="7"/>
      <c r="JCM103" s="7"/>
      <c r="JCN103" s="4"/>
      <c r="JCS103" s="7"/>
      <c r="JCT103" s="7"/>
      <c r="JCU103" s="7"/>
      <c r="JCV103" s="4"/>
      <c r="JDA103" s="7"/>
      <c r="JDB103" s="7"/>
      <c r="JDC103" s="7"/>
      <c r="JDD103" s="4"/>
      <c r="JDI103" s="7"/>
      <c r="JDJ103" s="7"/>
      <c r="JDK103" s="7"/>
      <c r="JDL103" s="4"/>
      <c r="JDQ103" s="7"/>
      <c r="JDR103" s="7"/>
      <c r="JDS103" s="7"/>
      <c r="JDT103" s="4"/>
      <c r="JDY103" s="7"/>
      <c r="JDZ103" s="7"/>
      <c r="JEA103" s="7"/>
      <c r="JEB103" s="4"/>
      <c r="JEG103" s="7"/>
      <c r="JEH103" s="7"/>
      <c r="JEI103" s="7"/>
      <c r="JEJ103" s="4"/>
      <c r="JEO103" s="7"/>
      <c r="JEP103" s="7"/>
      <c r="JEQ103" s="7"/>
      <c r="JER103" s="4"/>
      <c r="JEW103" s="7"/>
      <c r="JEX103" s="7"/>
      <c r="JEY103" s="7"/>
      <c r="JEZ103" s="4"/>
      <c r="JFE103" s="7"/>
      <c r="JFF103" s="7"/>
      <c r="JFG103" s="7"/>
      <c r="JFH103" s="4"/>
      <c r="JFM103" s="7"/>
      <c r="JFN103" s="7"/>
      <c r="JFO103" s="7"/>
      <c r="JFP103" s="4"/>
      <c r="JFU103" s="7"/>
      <c r="JFV103" s="7"/>
      <c r="JFW103" s="7"/>
      <c r="JFX103" s="4"/>
      <c r="JGC103" s="7"/>
      <c r="JGD103" s="7"/>
      <c r="JGE103" s="7"/>
      <c r="JGF103" s="4"/>
      <c r="JGK103" s="7"/>
      <c r="JGL103" s="7"/>
      <c r="JGM103" s="7"/>
      <c r="JGN103" s="4"/>
      <c r="JGS103" s="7"/>
      <c r="JGT103" s="7"/>
      <c r="JGU103" s="7"/>
      <c r="JGV103" s="4"/>
      <c r="JHA103" s="7"/>
      <c r="JHB103" s="7"/>
      <c r="JHC103" s="7"/>
      <c r="JHD103" s="4"/>
      <c r="JHI103" s="7"/>
      <c r="JHJ103" s="7"/>
      <c r="JHK103" s="7"/>
      <c r="JHL103" s="4"/>
      <c r="JHQ103" s="7"/>
      <c r="JHR103" s="7"/>
      <c r="JHS103" s="7"/>
      <c r="JHT103" s="4"/>
      <c r="JHY103" s="7"/>
      <c r="JHZ103" s="7"/>
      <c r="JIA103" s="7"/>
      <c r="JIB103" s="4"/>
      <c r="JIG103" s="7"/>
      <c r="JIH103" s="7"/>
      <c r="JII103" s="7"/>
      <c r="JIJ103" s="4"/>
      <c r="JIO103" s="7"/>
      <c r="JIP103" s="7"/>
      <c r="JIQ103" s="7"/>
      <c r="JIR103" s="4"/>
      <c r="JIW103" s="7"/>
      <c r="JIX103" s="7"/>
      <c r="JIY103" s="7"/>
      <c r="JIZ103" s="4"/>
      <c r="JJE103" s="7"/>
      <c r="JJF103" s="7"/>
      <c r="JJG103" s="7"/>
      <c r="JJH103" s="4"/>
      <c r="JJM103" s="7"/>
      <c r="JJN103" s="7"/>
      <c r="JJO103" s="7"/>
      <c r="JJP103" s="4"/>
      <c r="JJU103" s="7"/>
      <c r="JJV103" s="7"/>
      <c r="JJW103" s="7"/>
      <c r="JJX103" s="4"/>
      <c r="JKC103" s="7"/>
      <c r="JKD103" s="7"/>
      <c r="JKE103" s="7"/>
      <c r="JKF103" s="4"/>
      <c r="JKK103" s="7"/>
      <c r="JKL103" s="7"/>
      <c r="JKM103" s="7"/>
      <c r="JKN103" s="4"/>
      <c r="JKS103" s="7"/>
      <c r="JKT103" s="7"/>
      <c r="JKU103" s="7"/>
      <c r="JKV103" s="4"/>
      <c r="JLA103" s="7"/>
      <c r="JLB103" s="7"/>
      <c r="JLC103" s="7"/>
      <c r="JLD103" s="4"/>
      <c r="JLI103" s="7"/>
      <c r="JLJ103" s="7"/>
      <c r="JLK103" s="7"/>
      <c r="JLL103" s="4"/>
      <c r="JLQ103" s="7"/>
      <c r="JLR103" s="7"/>
      <c r="JLS103" s="7"/>
      <c r="JLT103" s="4"/>
      <c r="JLY103" s="7"/>
      <c r="JLZ103" s="7"/>
      <c r="JMA103" s="7"/>
      <c r="JMB103" s="4"/>
      <c r="JMG103" s="7"/>
      <c r="JMH103" s="7"/>
      <c r="JMI103" s="7"/>
      <c r="JMJ103" s="4"/>
      <c r="JMO103" s="7"/>
      <c r="JMP103" s="7"/>
      <c r="JMQ103" s="7"/>
      <c r="JMR103" s="4"/>
      <c r="JMW103" s="7"/>
      <c r="JMX103" s="7"/>
      <c r="JMY103" s="7"/>
      <c r="JMZ103" s="4"/>
      <c r="JNE103" s="7"/>
      <c r="JNF103" s="7"/>
      <c r="JNG103" s="7"/>
      <c r="JNH103" s="4"/>
      <c r="JNM103" s="7"/>
      <c r="JNN103" s="7"/>
      <c r="JNO103" s="7"/>
      <c r="JNP103" s="4"/>
      <c r="JNU103" s="7"/>
      <c r="JNV103" s="7"/>
      <c r="JNW103" s="7"/>
      <c r="JNX103" s="4"/>
      <c r="JOC103" s="7"/>
      <c r="JOD103" s="7"/>
      <c r="JOE103" s="7"/>
      <c r="JOF103" s="4"/>
      <c r="JOK103" s="7"/>
      <c r="JOL103" s="7"/>
      <c r="JOM103" s="7"/>
      <c r="JON103" s="4"/>
      <c r="JOS103" s="7"/>
      <c r="JOT103" s="7"/>
      <c r="JOU103" s="7"/>
      <c r="JOV103" s="4"/>
      <c r="JPA103" s="7"/>
      <c r="JPB103" s="7"/>
      <c r="JPC103" s="7"/>
      <c r="JPD103" s="4"/>
      <c r="JPI103" s="7"/>
      <c r="JPJ103" s="7"/>
      <c r="JPK103" s="7"/>
      <c r="JPL103" s="4"/>
      <c r="JPQ103" s="7"/>
      <c r="JPR103" s="7"/>
      <c r="JPS103" s="7"/>
      <c r="JPT103" s="4"/>
      <c r="JPY103" s="7"/>
      <c r="JPZ103" s="7"/>
      <c r="JQA103" s="7"/>
      <c r="JQB103" s="4"/>
      <c r="JQG103" s="7"/>
      <c r="JQH103" s="7"/>
      <c r="JQI103" s="7"/>
      <c r="JQJ103" s="4"/>
      <c r="JQO103" s="7"/>
      <c r="JQP103" s="7"/>
      <c r="JQQ103" s="7"/>
      <c r="JQR103" s="4"/>
      <c r="JQW103" s="7"/>
      <c r="JQX103" s="7"/>
      <c r="JQY103" s="7"/>
      <c r="JQZ103" s="4"/>
      <c r="JRE103" s="7"/>
      <c r="JRF103" s="7"/>
      <c r="JRG103" s="7"/>
      <c r="JRH103" s="4"/>
      <c r="JRM103" s="7"/>
      <c r="JRN103" s="7"/>
      <c r="JRO103" s="7"/>
      <c r="JRP103" s="4"/>
      <c r="JRU103" s="7"/>
      <c r="JRV103" s="7"/>
      <c r="JRW103" s="7"/>
      <c r="JRX103" s="4"/>
      <c r="JSC103" s="7"/>
      <c r="JSD103" s="7"/>
      <c r="JSE103" s="7"/>
      <c r="JSF103" s="4"/>
      <c r="JSK103" s="7"/>
      <c r="JSL103" s="7"/>
      <c r="JSM103" s="7"/>
      <c r="JSN103" s="4"/>
      <c r="JSS103" s="7"/>
      <c r="JST103" s="7"/>
      <c r="JSU103" s="7"/>
      <c r="JSV103" s="4"/>
      <c r="JTA103" s="7"/>
      <c r="JTB103" s="7"/>
      <c r="JTC103" s="7"/>
      <c r="JTD103" s="4"/>
      <c r="JTI103" s="7"/>
      <c r="JTJ103" s="7"/>
      <c r="JTK103" s="7"/>
      <c r="JTL103" s="4"/>
      <c r="JTQ103" s="7"/>
      <c r="JTR103" s="7"/>
      <c r="JTS103" s="7"/>
      <c r="JTT103" s="4"/>
      <c r="JTY103" s="7"/>
      <c r="JTZ103" s="7"/>
      <c r="JUA103" s="7"/>
      <c r="JUB103" s="4"/>
      <c r="JUG103" s="7"/>
      <c r="JUH103" s="7"/>
      <c r="JUI103" s="7"/>
      <c r="JUJ103" s="4"/>
      <c r="JUO103" s="7"/>
      <c r="JUP103" s="7"/>
      <c r="JUQ103" s="7"/>
      <c r="JUR103" s="4"/>
      <c r="JUW103" s="7"/>
      <c r="JUX103" s="7"/>
      <c r="JUY103" s="7"/>
      <c r="JUZ103" s="4"/>
      <c r="JVE103" s="7"/>
      <c r="JVF103" s="7"/>
      <c r="JVG103" s="7"/>
      <c r="JVH103" s="4"/>
      <c r="JVM103" s="7"/>
      <c r="JVN103" s="7"/>
      <c r="JVO103" s="7"/>
      <c r="JVP103" s="4"/>
      <c r="JVU103" s="7"/>
      <c r="JVV103" s="7"/>
      <c r="JVW103" s="7"/>
      <c r="JVX103" s="4"/>
      <c r="JWC103" s="7"/>
      <c r="JWD103" s="7"/>
      <c r="JWE103" s="7"/>
      <c r="JWF103" s="4"/>
      <c r="JWK103" s="7"/>
      <c r="JWL103" s="7"/>
      <c r="JWM103" s="7"/>
      <c r="JWN103" s="4"/>
      <c r="JWS103" s="7"/>
      <c r="JWT103" s="7"/>
      <c r="JWU103" s="7"/>
      <c r="JWV103" s="4"/>
      <c r="JXA103" s="7"/>
      <c r="JXB103" s="7"/>
      <c r="JXC103" s="7"/>
      <c r="JXD103" s="4"/>
      <c r="JXI103" s="7"/>
      <c r="JXJ103" s="7"/>
      <c r="JXK103" s="7"/>
      <c r="JXL103" s="4"/>
      <c r="JXQ103" s="7"/>
      <c r="JXR103" s="7"/>
      <c r="JXS103" s="7"/>
      <c r="JXT103" s="4"/>
      <c r="JXY103" s="7"/>
      <c r="JXZ103" s="7"/>
      <c r="JYA103" s="7"/>
      <c r="JYB103" s="4"/>
      <c r="JYG103" s="7"/>
      <c r="JYH103" s="7"/>
      <c r="JYI103" s="7"/>
      <c r="JYJ103" s="4"/>
      <c r="JYO103" s="7"/>
      <c r="JYP103" s="7"/>
      <c r="JYQ103" s="7"/>
      <c r="JYR103" s="4"/>
      <c r="JYW103" s="7"/>
      <c r="JYX103" s="7"/>
      <c r="JYY103" s="7"/>
      <c r="JYZ103" s="4"/>
      <c r="JZE103" s="7"/>
      <c r="JZF103" s="7"/>
      <c r="JZG103" s="7"/>
      <c r="JZH103" s="4"/>
      <c r="JZM103" s="7"/>
      <c r="JZN103" s="7"/>
      <c r="JZO103" s="7"/>
      <c r="JZP103" s="4"/>
      <c r="JZU103" s="7"/>
      <c r="JZV103" s="7"/>
      <c r="JZW103" s="7"/>
      <c r="JZX103" s="4"/>
      <c r="KAC103" s="7"/>
      <c r="KAD103" s="7"/>
      <c r="KAE103" s="7"/>
      <c r="KAF103" s="4"/>
      <c r="KAK103" s="7"/>
      <c r="KAL103" s="7"/>
      <c r="KAM103" s="7"/>
      <c r="KAN103" s="4"/>
      <c r="KAS103" s="7"/>
      <c r="KAT103" s="7"/>
      <c r="KAU103" s="7"/>
      <c r="KAV103" s="4"/>
      <c r="KBA103" s="7"/>
      <c r="KBB103" s="7"/>
      <c r="KBC103" s="7"/>
      <c r="KBD103" s="4"/>
      <c r="KBI103" s="7"/>
      <c r="KBJ103" s="7"/>
      <c r="KBK103" s="7"/>
      <c r="KBL103" s="4"/>
      <c r="KBQ103" s="7"/>
      <c r="KBR103" s="7"/>
      <c r="KBS103" s="7"/>
      <c r="KBT103" s="4"/>
      <c r="KBY103" s="7"/>
      <c r="KBZ103" s="7"/>
      <c r="KCA103" s="7"/>
      <c r="KCB103" s="4"/>
      <c r="KCG103" s="7"/>
      <c r="KCH103" s="7"/>
      <c r="KCI103" s="7"/>
      <c r="KCJ103" s="4"/>
      <c r="KCO103" s="7"/>
      <c r="KCP103" s="7"/>
      <c r="KCQ103" s="7"/>
      <c r="KCR103" s="4"/>
      <c r="KCW103" s="7"/>
      <c r="KCX103" s="7"/>
      <c r="KCY103" s="7"/>
      <c r="KCZ103" s="4"/>
      <c r="KDE103" s="7"/>
      <c r="KDF103" s="7"/>
      <c r="KDG103" s="7"/>
      <c r="KDH103" s="4"/>
      <c r="KDM103" s="7"/>
      <c r="KDN103" s="7"/>
      <c r="KDO103" s="7"/>
      <c r="KDP103" s="4"/>
      <c r="KDU103" s="7"/>
      <c r="KDV103" s="7"/>
      <c r="KDW103" s="7"/>
      <c r="KDX103" s="4"/>
      <c r="KEC103" s="7"/>
      <c r="KED103" s="7"/>
      <c r="KEE103" s="7"/>
      <c r="KEF103" s="4"/>
      <c r="KEK103" s="7"/>
      <c r="KEL103" s="7"/>
      <c r="KEM103" s="7"/>
      <c r="KEN103" s="4"/>
      <c r="KES103" s="7"/>
      <c r="KET103" s="7"/>
      <c r="KEU103" s="7"/>
      <c r="KEV103" s="4"/>
      <c r="KFA103" s="7"/>
      <c r="KFB103" s="7"/>
      <c r="KFC103" s="7"/>
      <c r="KFD103" s="4"/>
      <c r="KFI103" s="7"/>
      <c r="KFJ103" s="7"/>
      <c r="KFK103" s="7"/>
      <c r="KFL103" s="4"/>
      <c r="KFQ103" s="7"/>
      <c r="KFR103" s="7"/>
      <c r="KFS103" s="7"/>
      <c r="KFT103" s="4"/>
      <c r="KFY103" s="7"/>
      <c r="KFZ103" s="7"/>
      <c r="KGA103" s="7"/>
      <c r="KGB103" s="4"/>
      <c r="KGG103" s="7"/>
      <c r="KGH103" s="7"/>
      <c r="KGI103" s="7"/>
      <c r="KGJ103" s="4"/>
      <c r="KGO103" s="7"/>
      <c r="KGP103" s="7"/>
      <c r="KGQ103" s="7"/>
      <c r="KGR103" s="4"/>
      <c r="KGW103" s="7"/>
      <c r="KGX103" s="7"/>
      <c r="KGY103" s="7"/>
      <c r="KGZ103" s="4"/>
      <c r="KHE103" s="7"/>
      <c r="KHF103" s="7"/>
      <c r="KHG103" s="7"/>
      <c r="KHH103" s="4"/>
      <c r="KHM103" s="7"/>
      <c r="KHN103" s="7"/>
      <c r="KHO103" s="7"/>
      <c r="KHP103" s="4"/>
      <c r="KHU103" s="7"/>
      <c r="KHV103" s="7"/>
      <c r="KHW103" s="7"/>
      <c r="KHX103" s="4"/>
      <c r="KIC103" s="7"/>
      <c r="KID103" s="7"/>
      <c r="KIE103" s="7"/>
      <c r="KIF103" s="4"/>
      <c r="KIK103" s="7"/>
      <c r="KIL103" s="7"/>
      <c r="KIM103" s="7"/>
      <c r="KIN103" s="4"/>
      <c r="KIS103" s="7"/>
      <c r="KIT103" s="7"/>
      <c r="KIU103" s="7"/>
      <c r="KIV103" s="4"/>
      <c r="KJA103" s="7"/>
      <c r="KJB103" s="7"/>
      <c r="KJC103" s="7"/>
      <c r="KJD103" s="4"/>
      <c r="KJI103" s="7"/>
      <c r="KJJ103" s="7"/>
      <c r="KJK103" s="7"/>
      <c r="KJL103" s="4"/>
      <c r="KJQ103" s="7"/>
      <c r="KJR103" s="7"/>
      <c r="KJS103" s="7"/>
      <c r="KJT103" s="4"/>
      <c r="KJY103" s="7"/>
      <c r="KJZ103" s="7"/>
      <c r="KKA103" s="7"/>
      <c r="KKB103" s="4"/>
      <c r="KKG103" s="7"/>
      <c r="KKH103" s="7"/>
      <c r="KKI103" s="7"/>
      <c r="KKJ103" s="4"/>
      <c r="KKO103" s="7"/>
      <c r="KKP103" s="7"/>
      <c r="KKQ103" s="7"/>
      <c r="KKR103" s="4"/>
      <c r="KKW103" s="7"/>
      <c r="KKX103" s="7"/>
      <c r="KKY103" s="7"/>
      <c r="KKZ103" s="4"/>
      <c r="KLE103" s="7"/>
      <c r="KLF103" s="7"/>
      <c r="KLG103" s="7"/>
      <c r="KLH103" s="4"/>
      <c r="KLM103" s="7"/>
      <c r="KLN103" s="7"/>
      <c r="KLO103" s="7"/>
      <c r="KLP103" s="4"/>
      <c r="KLU103" s="7"/>
      <c r="KLV103" s="7"/>
      <c r="KLW103" s="7"/>
      <c r="KLX103" s="4"/>
      <c r="KMC103" s="7"/>
      <c r="KMD103" s="7"/>
      <c r="KME103" s="7"/>
      <c r="KMF103" s="4"/>
      <c r="KMK103" s="7"/>
      <c r="KML103" s="7"/>
      <c r="KMM103" s="7"/>
      <c r="KMN103" s="4"/>
      <c r="KMS103" s="7"/>
      <c r="KMT103" s="7"/>
      <c r="KMU103" s="7"/>
      <c r="KMV103" s="4"/>
      <c r="KNA103" s="7"/>
      <c r="KNB103" s="7"/>
      <c r="KNC103" s="7"/>
      <c r="KND103" s="4"/>
      <c r="KNI103" s="7"/>
      <c r="KNJ103" s="7"/>
      <c r="KNK103" s="7"/>
      <c r="KNL103" s="4"/>
      <c r="KNQ103" s="7"/>
      <c r="KNR103" s="7"/>
      <c r="KNS103" s="7"/>
      <c r="KNT103" s="4"/>
      <c r="KNY103" s="7"/>
      <c r="KNZ103" s="7"/>
      <c r="KOA103" s="7"/>
      <c r="KOB103" s="4"/>
      <c r="KOG103" s="7"/>
      <c r="KOH103" s="7"/>
      <c r="KOI103" s="7"/>
      <c r="KOJ103" s="4"/>
      <c r="KOO103" s="7"/>
      <c r="KOP103" s="7"/>
      <c r="KOQ103" s="7"/>
      <c r="KOR103" s="4"/>
      <c r="KOW103" s="7"/>
      <c r="KOX103" s="7"/>
      <c r="KOY103" s="7"/>
      <c r="KOZ103" s="4"/>
      <c r="KPE103" s="7"/>
      <c r="KPF103" s="7"/>
      <c r="KPG103" s="7"/>
      <c r="KPH103" s="4"/>
      <c r="KPM103" s="7"/>
      <c r="KPN103" s="7"/>
      <c r="KPO103" s="7"/>
      <c r="KPP103" s="4"/>
      <c r="KPU103" s="7"/>
      <c r="KPV103" s="7"/>
      <c r="KPW103" s="7"/>
      <c r="KPX103" s="4"/>
      <c r="KQC103" s="7"/>
      <c r="KQD103" s="7"/>
      <c r="KQE103" s="7"/>
      <c r="KQF103" s="4"/>
      <c r="KQK103" s="7"/>
      <c r="KQL103" s="7"/>
      <c r="KQM103" s="7"/>
      <c r="KQN103" s="4"/>
      <c r="KQS103" s="7"/>
      <c r="KQT103" s="7"/>
      <c r="KQU103" s="7"/>
      <c r="KQV103" s="4"/>
      <c r="KRA103" s="7"/>
      <c r="KRB103" s="7"/>
      <c r="KRC103" s="7"/>
      <c r="KRD103" s="4"/>
      <c r="KRI103" s="7"/>
      <c r="KRJ103" s="7"/>
      <c r="KRK103" s="7"/>
      <c r="KRL103" s="4"/>
      <c r="KRQ103" s="7"/>
      <c r="KRR103" s="7"/>
      <c r="KRS103" s="7"/>
      <c r="KRT103" s="4"/>
      <c r="KRY103" s="7"/>
      <c r="KRZ103" s="7"/>
      <c r="KSA103" s="7"/>
      <c r="KSB103" s="4"/>
      <c r="KSG103" s="7"/>
      <c r="KSH103" s="7"/>
      <c r="KSI103" s="7"/>
      <c r="KSJ103" s="4"/>
      <c r="KSO103" s="7"/>
      <c r="KSP103" s="7"/>
      <c r="KSQ103" s="7"/>
      <c r="KSR103" s="4"/>
      <c r="KSW103" s="7"/>
      <c r="KSX103" s="7"/>
      <c r="KSY103" s="7"/>
      <c r="KSZ103" s="4"/>
      <c r="KTE103" s="7"/>
      <c r="KTF103" s="7"/>
      <c r="KTG103" s="7"/>
      <c r="KTH103" s="4"/>
      <c r="KTM103" s="7"/>
      <c r="KTN103" s="7"/>
      <c r="KTO103" s="7"/>
      <c r="KTP103" s="4"/>
      <c r="KTU103" s="7"/>
      <c r="KTV103" s="7"/>
      <c r="KTW103" s="7"/>
      <c r="KTX103" s="4"/>
      <c r="KUC103" s="7"/>
      <c r="KUD103" s="7"/>
      <c r="KUE103" s="7"/>
      <c r="KUF103" s="4"/>
      <c r="KUK103" s="7"/>
      <c r="KUL103" s="7"/>
      <c r="KUM103" s="7"/>
      <c r="KUN103" s="4"/>
      <c r="KUS103" s="7"/>
      <c r="KUT103" s="7"/>
      <c r="KUU103" s="7"/>
      <c r="KUV103" s="4"/>
      <c r="KVA103" s="7"/>
      <c r="KVB103" s="7"/>
      <c r="KVC103" s="7"/>
      <c r="KVD103" s="4"/>
      <c r="KVI103" s="7"/>
      <c r="KVJ103" s="7"/>
      <c r="KVK103" s="7"/>
      <c r="KVL103" s="4"/>
      <c r="KVQ103" s="7"/>
      <c r="KVR103" s="7"/>
      <c r="KVS103" s="7"/>
      <c r="KVT103" s="4"/>
      <c r="KVY103" s="7"/>
      <c r="KVZ103" s="7"/>
      <c r="KWA103" s="7"/>
      <c r="KWB103" s="4"/>
      <c r="KWG103" s="7"/>
      <c r="KWH103" s="7"/>
      <c r="KWI103" s="7"/>
      <c r="KWJ103" s="4"/>
      <c r="KWO103" s="7"/>
      <c r="KWP103" s="7"/>
      <c r="KWQ103" s="7"/>
      <c r="KWR103" s="4"/>
      <c r="KWW103" s="7"/>
      <c r="KWX103" s="7"/>
      <c r="KWY103" s="7"/>
      <c r="KWZ103" s="4"/>
      <c r="KXE103" s="7"/>
      <c r="KXF103" s="7"/>
      <c r="KXG103" s="7"/>
      <c r="KXH103" s="4"/>
      <c r="KXM103" s="7"/>
      <c r="KXN103" s="7"/>
      <c r="KXO103" s="7"/>
      <c r="KXP103" s="4"/>
      <c r="KXU103" s="7"/>
      <c r="KXV103" s="7"/>
      <c r="KXW103" s="7"/>
      <c r="KXX103" s="4"/>
      <c r="KYC103" s="7"/>
      <c r="KYD103" s="7"/>
      <c r="KYE103" s="7"/>
      <c r="KYF103" s="4"/>
      <c r="KYK103" s="7"/>
      <c r="KYL103" s="7"/>
      <c r="KYM103" s="7"/>
      <c r="KYN103" s="4"/>
      <c r="KYS103" s="7"/>
      <c r="KYT103" s="7"/>
      <c r="KYU103" s="7"/>
      <c r="KYV103" s="4"/>
      <c r="KZA103" s="7"/>
      <c r="KZB103" s="7"/>
      <c r="KZC103" s="7"/>
      <c r="KZD103" s="4"/>
      <c r="KZI103" s="7"/>
      <c r="KZJ103" s="7"/>
      <c r="KZK103" s="7"/>
      <c r="KZL103" s="4"/>
      <c r="KZQ103" s="7"/>
      <c r="KZR103" s="7"/>
      <c r="KZS103" s="7"/>
      <c r="KZT103" s="4"/>
      <c r="KZY103" s="7"/>
      <c r="KZZ103" s="7"/>
      <c r="LAA103" s="7"/>
      <c r="LAB103" s="4"/>
      <c r="LAG103" s="7"/>
      <c r="LAH103" s="7"/>
      <c r="LAI103" s="7"/>
      <c r="LAJ103" s="4"/>
      <c r="LAO103" s="7"/>
      <c r="LAP103" s="7"/>
      <c r="LAQ103" s="7"/>
      <c r="LAR103" s="4"/>
      <c r="LAW103" s="7"/>
      <c r="LAX103" s="7"/>
      <c r="LAY103" s="7"/>
      <c r="LAZ103" s="4"/>
      <c r="LBE103" s="7"/>
      <c r="LBF103" s="7"/>
      <c r="LBG103" s="7"/>
      <c r="LBH103" s="4"/>
      <c r="LBM103" s="7"/>
      <c r="LBN103" s="7"/>
      <c r="LBO103" s="7"/>
      <c r="LBP103" s="4"/>
      <c r="LBU103" s="7"/>
      <c r="LBV103" s="7"/>
      <c r="LBW103" s="7"/>
      <c r="LBX103" s="4"/>
      <c r="LCC103" s="7"/>
      <c r="LCD103" s="7"/>
      <c r="LCE103" s="7"/>
      <c r="LCF103" s="4"/>
      <c r="LCK103" s="7"/>
      <c r="LCL103" s="7"/>
      <c r="LCM103" s="7"/>
      <c r="LCN103" s="4"/>
      <c r="LCS103" s="7"/>
      <c r="LCT103" s="7"/>
      <c r="LCU103" s="7"/>
      <c r="LCV103" s="4"/>
      <c r="LDA103" s="7"/>
      <c r="LDB103" s="7"/>
      <c r="LDC103" s="7"/>
      <c r="LDD103" s="4"/>
      <c r="LDI103" s="7"/>
      <c r="LDJ103" s="7"/>
      <c r="LDK103" s="7"/>
      <c r="LDL103" s="4"/>
      <c r="LDQ103" s="7"/>
      <c r="LDR103" s="7"/>
      <c r="LDS103" s="7"/>
      <c r="LDT103" s="4"/>
      <c r="LDY103" s="7"/>
      <c r="LDZ103" s="7"/>
      <c r="LEA103" s="7"/>
      <c r="LEB103" s="4"/>
      <c r="LEG103" s="7"/>
      <c r="LEH103" s="7"/>
      <c r="LEI103" s="7"/>
      <c r="LEJ103" s="4"/>
      <c r="LEO103" s="7"/>
      <c r="LEP103" s="7"/>
      <c r="LEQ103" s="7"/>
      <c r="LER103" s="4"/>
      <c r="LEW103" s="7"/>
      <c r="LEX103" s="7"/>
      <c r="LEY103" s="7"/>
      <c r="LEZ103" s="4"/>
      <c r="LFE103" s="7"/>
      <c r="LFF103" s="7"/>
      <c r="LFG103" s="7"/>
      <c r="LFH103" s="4"/>
      <c r="LFM103" s="7"/>
      <c r="LFN103" s="7"/>
      <c r="LFO103" s="7"/>
      <c r="LFP103" s="4"/>
      <c r="LFU103" s="7"/>
      <c r="LFV103" s="7"/>
      <c r="LFW103" s="7"/>
      <c r="LFX103" s="4"/>
      <c r="LGC103" s="7"/>
      <c r="LGD103" s="7"/>
      <c r="LGE103" s="7"/>
      <c r="LGF103" s="4"/>
      <c r="LGK103" s="7"/>
      <c r="LGL103" s="7"/>
      <c r="LGM103" s="7"/>
      <c r="LGN103" s="4"/>
      <c r="LGS103" s="7"/>
      <c r="LGT103" s="7"/>
      <c r="LGU103" s="7"/>
      <c r="LGV103" s="4"/>
      <c r="LHA103" s="7"/>
      <c r="LHB103" s="7"/>
      <c r="LHC103" s="7"/>
      <c r="LHD103" s="4"/>
      <c r="LHI103" s="7"/>
      <c r="LHJ103" s="7"/>
      <c r="LHK103" s="7"/>
      <c r="LHL103" s="4"/>
      <c r="LHQ103" s="7"/>
      <c r="LHR103" s="7"/>
      <c r="LHS103" s="7"/>
      <c r="LHT103" s="4"/>
      <c r="LHY103" s="7"/>
      <c r="LHZ103" s="7"/>
      <c r="LIA103" s="7"/>
      <c r="LIB103" s="4"/>
      <c r="LIG103" s="7"/>
      <c r="LIH103" s="7"/>
      <c r="LII103" s="7"/>
      <c r="LIJ103" s="4"/>
      <c r="LIO103" s="7"/>
      <c r="LIP103" s="7"/>
      <c r="LIQ103" s="7"/>
      <c r="LIR103" s="4"/>
      <c r="LIW103" s="7"/>
      <c r="LIX103" s="7"/>
      <c r="LIY103" s="7"/>
      <c r="LIZ103" s="4"/>
      <c r="LJE103" s="7"/>
      <c r="LJF103" s="7"/>
      <c r="LJG103" s="7"/>
      <c r="LJH103" s="4"/>
      <c r="LJM103" s="7"/>
      <c r="LJN103" s="7"/>
      <c r="LJO103" s="7"/>
      <c r="LJP103" s="4"/>
      <c r="LJU103" s="7"/>
      <c r="LJV103" s="7"/>
      <c r="LJW103" s="7"/>
      <c r="LJX103" s="4"/>
      <c r="LKC103" s="7"/>
      <c r="LKD103" s="7"/>
      <c r="LKE103" s="7"/>
      <c r="LKF103" s="4"/>
      <c r="LKK103" s="7"/>
      <c r="LKL103" s="7"/>
      <c r="LKM103" s="7"/>
      <c r="LKN103" s="4"/>
      <c r="LKS103" s="7"/>
      <c r="LKT103" s="7"/>
      <c r="LKU103" s="7"/>
      <c r="LKV103" s="4"/>
      <c r="LLA103" s="7"/>
      <c r="LLB103" s="7"/>
      <c r="LLC103" s="7"/>
      <c r="LLD103" s="4"/>
      <c r="LLI103" s="7"/>
      <c r="LLJ103" s="7"/>
      <c r="LLK103" s="7"/>
      <c r="LLL103" s="4"/>
      <c r="LLQ103" s="7"/>
      <c r="LLR103" s="7"/>
      <c r="LLS103" s="7"/>
      <c r="LLT103" s="4"/>
      <c r="LLY103" s="7"/>
      <c r="LLZ103" s="7"/>
      <c r="LMA103" s="7"/>
      <c r="LMB103" s="4"/>
      <c r="LMG103" s="7"/>
      <c r="LMH103" s="7"/>
      <c r="LMI103" s="7"/>
      <c r="LMJ103" s="4"/>
      <c r="LMO103" s="7"/>
      <c r="LMP103" s="7"/>
      <c r="LMQ103" s="7"/>
      <c r="LMR103" s="4"/>
      <c r="LMW103" s="7"/>
      <c r="LMX103" s="7"/>
      <c r="LMY103" s="7"/>
      <c r="LMZ103" s="4"/>
      <c r="LNE103" s="7"/>
      <c r="LNF103" s="7"/>
      <c r="LNG103" s="7"/>
      <c r="LNH103" s="4"/>
      <c r="LNM103" s="7"/>
      <c r="LNN103" s="7"/>
      <c r="LNO103" s="7"/>
      <c r="LNP103" s="4"/>
      <c r="LNU103" s="7"/>
      <c r="LNV103" s="7"/>
      <c r="LNW103" s="7"/>
      <c r="LNX103" s="4"/>
      <c r="LOC103" s="7"/>
      <c r="LOD103" s="7"/>
      <c r="LOE103" s="7"/>
      <c r="LOF103" s="4"/>
      <c r="LOK103" s="7"/>
      <c r="LOL103" s="7"/>
      <c r="LOM103" s="7"/>
      <c r="LON103" s="4"/>
      <c r="LOS103" s="7"/>
      <c r="LOT103" s="7"/>
      <c r="LOU103" s="7"/>
      <c r="LOV103" s="4"/>
      <c r="LPA103" s="7"/>
      <c r="LPB103" s="7"/>
      <c r="LPC103" s="7"/>
      <c r="LPD103" s="4"/>
      <c r="LPI103" s="7"/>
      <c r="LPJ103" s="7"/>
      <c r="LPK103" s="7"/>
      <c r="LPL103" s="4"/>
      <c r="LPQ103" s="7"/>
      <c r="LPR103" s="7"/>
      <c r="LPS103" s="7"/>
      <c r="LPT103" s="4"/>
      <c r="LPY103" s="7"/>
      <c r="LPZ103" s="7"/>
      <c r="LQA103" s="7"/>
      <c r="LQB103" s="4"/>
      <c r="LQG103" s="7"/>
      <c r="LQH103" s="7"/>
      <c r="LQI103" s="7"/>
      <c r="LQJ103" s="4"/>
      <c r="LQO103" s="7"/>
      <c r="LQP103" s="7"/>
      <c r="LQQ103" s="7"/>
      <c r="LQR103" s="4"/>
      <c r="LQW103" s="7"/>
      <c r="LQX103" s="7"/>
      <c r="LQY103" s="7"/>
      <c r="LQZ103" s="4"/>
      <c r="LRE103" s="7"/>
      <c r="LRF103" s="7"/>
      <c r="LRG103" s="7"/>
      <c r="LRH103" s="4"/>
      <c r="LRM103" s="7"/>
      <c r="LRN103" s="7"/>
      <c r="LRO103" s="7"/>
      <c r="LRP103" s="4"/>
      <c r="LRU103" s="7"/>
      <c r="LRV103" s="7"/>
      <c r="LRW103" s="7"/>
      <c r="LRX103" s="4"/>
      <c r="LSC103" s="7"/>
      <c r="LSD103" s="7"/>
      <c r="LSE103" s="7"/>
      <c r="LSF103" s="4"/>
      <c r="LSK103" s="7"/>
      <c r="LSL103" s="7"/>
      <c r="LSM103" s="7"/>
      <c r="LSN103" s="4"/>
      <c r="LSS103" s="7"/>
      <c r="LST103" s="7"/>
      <c r="LSU103" s="7"/>
      <c r="LSV103" s="4"/>
      <c r="LTA103" s="7"/>
      <c r="LTB103" s="7"/>
      <c r="LTC103" s="7"/>
      <c r="LTD103" s="4"/>
      <c r="LTI103" s="7"/>
      <c r="LTJ103" s="7"/>
      <c r="LTK103" s="7"/>
      <c r="LTL103" s="4"/>
      <c r="LTQ103" s="7"/>
      <c r="LTR103" s="7"/>
      <c r="LTS103" s="7"/>
      <c r="LTT103" s="4"/>
      <c r="LTY103" s="7"/>
      <c r="LTZ103" s="7"/>
      <c r="LUA103" s="7"/>
      <c r="LUB103" s="4"/>
      <c r="LUG103" s="7"/>
      <c r="LUH103" s="7"/>
      <c r="LUI103" s="7"/>
      <c r="LUJ103" s="4"/>
      <c r="LUO103" s="7"/>
      <c r="LUP103" s="7"/>
      <c r="LUQ103" s="7"/>
      <c r="LUR103" s="4"/>
      <c r="LUW103" s="7"/>
      <c r="LUX103" s="7"/>
      <c r="LUY103" s="7"/>
      <c r="LUZ103" s="4"/>
      <c r="LVE103" s="7"/>
      <c r="LVF103" s="7"/>
      <c r="LVG103" s="7"/>
      <c r="LVH103" s="4"/>
      <c r="LVM103" s="7"/>
      <c r="LVN103" s="7"/>
      <c r="LVO103" s="7"/>
      <c r="LVP103" s="4"/>
      <c r="LVU103" s="7"/>
      <c r="LVV103" s="7"/>
      <c r="LVW103" s="7"/>
      <c r="LVX103" s="4"/>
      <c r="LWC103" s="7"/>
      <c r="LWD103" s="7"/>
      <c r="LWE103" s="7"/>
      <c r="LWF103" s="4"/>
      <c r="LWK103" s="7"/>
      <c r="LWL103" s="7"/>
      <c r="LWM103" s="7"/>
      <c r="LWN103" s="4"/>
      <c r="LWS103" s="7"/>
      <c r="LWT103" s="7"/>
      <c r="LWU103" s="7"/>
      <c r="LWV103" s="4"/>
      <c r="LXA103" s="7"/>
      <c r="LXB103" s="7"/>
      <c r="LXC103" s="7"/>
      <c r="LXD103" s="4"/>
      <c r="LXI103" s="7"/>
      <c r="LXJ103" s="7"/>
      <c r="LXK103" s="7"/>
      <c r="LXL103" s="4"/>
      <c r="LXQ103" s="7"/>
      <c r="LXR103" s="7"/>
      <c r="LXS103" s="7"/>
      <c r="LXT103" s="4"/>
      <c r="LXY103" s="7"/>
      <c r="LXZ103" s="7"/>
      <c r="LYA103" s="7"/>
      <c r="LYB103" s="4"/>
      <c r="LYG103" s="7"/>
      <c r="LYH103" s="7"/>
      <c r="LYI103" s="7"/>
      <c r="LYJ103" s="4"/>
      <c r="LYO103" s="7"/>
      <c r="LYP103" s="7"/>
      <c r="LYQ103" s="7"/>
      <c r="LYR103" s="4"/>
      <c r="LYW103" s="7"/>
      <c r="LYX103" s="7"/>
      <c r="LYY103" s="7"/>
      <c r="LYZ103" s="4"/>
      <c r="LZE103" s="7"/>
      <c r="LZF103" s="7"/>
      <c r="LZG103" s="7"/>
      <c r="LZH103" s="4"/>
      <c r="LZM103" s="7"/>
      <c r="LZN103" s="7"/>
      <c r="LZO103" s="7"/>
      <c r="LZP103" s="4"/>
      <c r="LZU103" s="7"/>
      <c r="LZV103" s="7"/>
      <c r="LZW103" s="7"/>
      <c r="LZX103" s="4"/>
      <c r="MAC103" s="7"/>
      <c r="MAD103" s="7"/>
      <c r="MAE103" s="7"/>
      <c r="MAF103" s="4"/>
      <c r="MAK103" s="7"/>
      <c r="MAL103" s="7"/>
      <c r="MAM103" s="7"/>
      <c r="MAN103" s="4"/>
      <c r="MAS103" s="7"/>
      <c r="MAT103" s="7"/>
      <c r="MAU103" s="7"/>
      <c r="MAV103" s="4"/>
      <c r="MBA103" s="7"/>
      <c r="MBB103" s="7"/>
      <c r="MBC103" s="7"/>
      <c r="MBD103" s="4"/>
      <c r="MBI103" s="7"/>
      <c r="MBJ103" s="7"/>
      <c r="MBK103" s="7"/>
      <c r="MBL103" s="4"/>
      <c r="MBQ103" s="7"/>
      <c r="MBR103" s="7"/>
      <c r="MBS103" s="7"/>
      <c r="MBT103" s="4"/>
      <c r="MBY103" s="7"/>
      <c r="MBZ103" s="7"/>
      <c r="MCA103" s="7"/>
      <c r="MCB103" s="4"/>
      <c r="MCG103" s="7"/>
      <c r="MCH103" s="7"/>
      <c r="MCI103" s="7"/>
      <c r="MCJ103" s="4"/>
      <c r="MCO103" s="7"/>
      <c r="MCP103" s="7"/>
      <c r="MCQ103" s="7"/>
      <c r="MCR103" s="4"/>
      <c r="MCW103" s="7"/>
      <c r="MCX103" s="7"/>
      <c r="MCY103" s="7"/>
      <c r="MCZ103" s="4"/>
      <c r="MDE103" s="7"/>
      <c r="MDF103" s="7"/>
      <c r="MDG103" s="7"/>
      <c r="MDH103" s="4"/>
      <c r="MDM103" s="7"/>
      <c r="MDN103" s="7"/>
      <c r="MDO103" s="7"/>
      <c r="MDP103" s="4"/>
      <c r="MDU103" s="7"/>
      <c r="MDV103" s="7"/>
      <c r="MDW103" s="7"/>
      <c r="MDX103" s="4"/>
      <c r="MEC103" s="7"/>
      <c r="MED103" s="7"/>
      <c r="MEE103" s="7"/>
      <c r="MEF103" s="4"/>
      <c r="MEK103" s="7"/>
      <c r="MEL103" s="7"/>
      <c r="MEM103" s="7"/>
      <c r="MEN103" s="4"/>
      <c r="MES103" s="7"/>
      <c r="MET103" s="7"/>
      <c r="MEU103" s="7"/>
      <c r="MEV103" s="4"/>
      <c r="MFA103" s="7"/>
      <c r="MFB103" s="7"/>
      <c r="MFC103" s="7"/>
      <c r="MFD103" s="4"/>
      <c r="MFI103" s="7"/>
      <c r="MFJ103" s="7"/>
      <c r="MFK103" s="7"/>
      <c r="MFL103" s="4"/>
      <c r="MFQ103" s="7"/>
      <c r="MFR103" s="7"/>
      <c r="MFS103" s="7"/>
      <c r="MFT103" s="4"/>
      <c r="MFY103" s="7"/>
      <c r="MFZ103" s="7"/>
      <c r="MGA103" s="7"/>
      <c r="MGB103" s="4"/>
      <c r="MGG103" s="7"/>
      <c r="MGH103" s="7"/>
      <c r="MGI103" s="7"/>
      <c r="MGJ103" s="4"/>
      <c r="MGO103" s="7"/>
      <c r="MGP103" s="7"/>
      <c r="MGQ103" s="7"/>
      <c r="MGR103" s="4"/>
      <c r="MGW103" s="7"/>
      <c r="MGX103" s="7"/>
      <c r="MGY103" s="7"/>
      <c r="MGZ103" s="4"/>
      <c r="MHE103" s="7"/>
      <c r="MHF103" s="7"/>
      <c r="MHG103" s="7"/>
      <c r="MHH103" s="4"/>
      <c r="MHM103" s="7"/>
      <c r="MHN103" s="7"/>
      <c r="MHO103" s="7"/>
      <c r="MHP103" s="4"/>
      <c r="MHU103" s="7"/>
      <c r="MHV103" s="7"/>
      <c r="MHW103" s="7"/>
      <c r="MHX103" s="4"/>
      <c r="MIC103" s="7"/>
      <c r="MID103" s="7"/>
      <c r="MIE103" s="7"/>
      <c r="MIF103" s="4"/>
      <c r="MIK103" s="7"/>
      <c r="MIL103" s="7"/>
      <c r="MIM103" s="7"/>
      <c r="MIN103" s="4"/>
      <c r="MIS103" s="7"/>
      <c r="MIT103" s="7"/>
      <c r="MIU103" s="7"/>
      <c r="MIV103" s="4"/>
      <c r="MJA103" s="7"/>
      <c r="MJB103" s="7"/>
      <c r="MJC103" s="7"/>
      <c r="MJD103" s="4"/>
      <c r="MJI103" s="7"/>
      <c r="MJJ103" s="7"/>
      <c r="MJK103" s="7"/>
      <c r="MJL103" s="4"/>
      <c r="MJQ103" s="7"/>
      <c r="MJR103" s="7"/>
      <c r="MJS103" s="7"/>
      <c r="MJT103" s="4"/>
      <c r="MJY103" s="7"/>
      <c r="MJZ103" s="7"/>
      <c r="MKA103" s="7"/>
      <c r="MKB103" s="4"/>
      <c r="MKG103" s="7"/>
      <c r="MKH103" s="7"/>
      <c r="MKI103" s="7"/>
      <c r="MKJ103" s="4"/>
      <c r="MKO103" s="7"/>
      <c r="MKP103" s="7"/>
      <c r="MKQ103" s="7"/>
      <c r="MKR103" s="4"/>
      <c r="MKW103" s="7"/>
      <c r="MKX103" s="7"/>
      <c r="MKY103" s="7"/>
      <c r="MKZ103" s="4"/>
      <c r="MLE103" s="7"/>
      <c r="MLF103" s="7"/>
      <c r="MLG103" s="7"/>
      <c r="MLH103" s="4"/>
      <c r="MLM103" s="7"/>
      <c r="MLN103" s="7"/>
      <c r="MLO103" s="7"/>
      <c r="MLP103" s="4"/>
      <c r="MLU103" s="7"/>
      <c r="MLV103" s="7"/>
      <c r="MLW103" s="7"/>
      <c r="MLX103" s="4"/>
      <c r="MMC103" s="7"/>
      <c r="MMD103" s="7"/>
      <c r="MME103" s="7"/>
      <c r="MMF103" s="4"/>
      <c r="MMK103" s="7"/>
      <c r="MML103" s="7"/>
      <c r="MMM103" s="7"/>
      <c r="MMN103" s="4"/>
      <c r="MMS103" s="7"/>
      <c r="MMT103" s="7"/>
      <c r="MMU103" s="7"/>
      <c r="MMV103" s="4"/>
      <c r="MNA103" s="7"/>
      <c r="MNB103" s="7"/>
      <c r="MNC103" s="7"/>
      <c r="MND103" s="4"/>
      <c r="MNI103" s="7"/>
      <c r="MNJ103" s="7"/>
      <c r="MNK103" s="7"/>
      <c r="MNL103" s="4"/>
      <c r="MNQ103" s="7"/>
      <c r="MNR103" s="7"/>
      <c r="MNS103" s="7"/>
      <c r="MNT103" s="4"/>
      <c r="MNY103" s="7"/>
      <c r="MNZ103" s="7"/>
      <c r="MOA103" s="7"/>
      <c r="MOB103" s="4"/>
      <c r="MOG103" s="7"/>
      <c r="MOH103" s="7"/>
      <c r="MOI103" s="7"/>
      <c r="MOJ103" s="4"/>
      <c r="MOO103" s="7"/>
      <c r="MOP103" s="7"/>
      <c r="MOQ103" s="7"/>
      <c r="MOR103" s="4"/>
      <c r="MOW103" s="7"/>
      <c r="MOX103" s="7"/>
      <c r="MOY103" s="7"/>
      <c r="MOZ103" s="4"/>
      <c r="MPE103" s="7"/>
      <c r="MPF103" s="7"/>
      <c r="MPG103" s="7"/>
      <c r="MPH103" s="4"/>
      <c r="MPM103" s="7"/>
      <c r="MPN103" s="7"/>
      <c r="MPO103" s="7"/>
      <c r="MPP103" s="4"/>
      <c r="MPU103" s="7"/>
      <c r="MPV103" s="7"/>
      <c r="MPW103" s="7"/>
      <c r="MPX103" s="4"/>
      <c r="MQC103" s="7"/>
      <c r="MQD103" s="7"/>
      <c r="MQE103" s="7"/>
      <c r="MQF103" s="4"/>
      <c r="MQK103" s="7"/>
      <c r="MQL103" s="7"/>
      <c r="MQM103" s="7"/>
      <c r="MQN103" s="4"/>
      <c r="MQS103" s="7"/>
      <c r="MQT103" s="7"/>
      <c r="MQU103" s="7"/>
      <c r="MQV103" s="4"/>
      <c r="MRA103" s="7"/>
      <c r="MRB103" s="7"/>
      <c r="MRC103" s="7"/>
      <c r="MRD103" s="4"/>
      <c r="MRI103" s="7"/>
      <c r="MRJ103" s="7"/>
      <c r="MRK103" s="7"/>
      <c r="MRL103" s="4"/>
      <c r="MRQ103" s="7"/>
      <c r="MRR103" s="7"/>
      <c r="MRS103" s="7"/>
      <c r="MRT103" s="4"/>
      <c r="MRY103" s="7"/>
      <c r="MRZ103" s="7"/>
      <c r="MSA103" s="7"/>
      <c r="MSB103" s="4"/>
      <c r="MSG103" s="7"/>
      <c r="MSH103" s="7"/>
      <c r="MSI103" s="7"/>
      <c r="MSJ103" s="4"/>
      <c r="MSO103" s="7"/>
      <c r="MSP103" s="7"/>
      <c r="MSQ103" s="7"/>
      <c r="MSR103" s="4"/>
      <c r="MSW103" s="7"/>
      <c r="MSX103" s="7"/>
      <c r="MSY103" s="7"/>
      <c r="MSZ103" s="4"/>
      <c r="MTE103" s="7"/>
      <c r="MTF103" s="7"/>
      <c r="MTG103" s="7"/>
      <c r="MTH103" s="4"/>
      <c r="MTM103" s="7"/>
      <c r="MTN103" s="7"/>
      <c r="MTO103" s="7"/>
      <c r="MTP103" s="4"/>
      <c r="MTU103" s="7"/>
      <c r="MTV103" s="7"/>
      <c r="MTW103" s="7"/>
      <c r="MTX103" s="4"/>
      <c r="MUC103" s="7"/>
      <c r="MUD103" s="7"/>
      <c r="MUE103" s="7"/>
      <c r="MUF103" s="4"/>
      <c r="MUK103" s="7"/>
      <c r="MUL103" s="7"/>
      <c r="MUM103" s="7"/>
      <c r="MUN103" s="4"/>
      <c r="MUS103" s="7"/>
      <c r="MUT103" s="7"/>
      <c r="MUU103" s="7"/>
      <c r="MUV103" s="4"/>
      <c r="MVA103" s="7"/>
      <c r="MVB103" s="7"/>
      <c r="MVC103" s="7"/>
      <c r="MVD103" s="4"/>
      <c r="MVI103" s="7"/>
      <c r="MVJ103" s="7"/>
      <c r="MVK103" s="7"/>
      <c r="MVL103" s="4"/>
      <c r="MVQ103" s="7"/>
      <c r="MVR103" s="7"/>
      <c r="MVS103" s="7"/>
      <c r="MVT103" s="4"/>
      <c r="MVY103" s="7"/>
      <c r="MVZ103" s="7"/>
      <c r="MWA103" s="7"/>
      <c r="MWB103" s="4"/>
      <c r="MWG103" s="7"/>
      <c r="MWH103" s="7"/>
      <c r="MWI103" s="7"/>
      <c r="MWJ103" s="4"/>
      <c r="MWO103" s="7"/>
      <c r="MWP103" s="7"/>
      <c r="MWQ103" s="7"/>
      <c r="MWR103" s="4"/>
      <c r="MWW103" s="7"/>
      <c r="MWX103" s="7"/>
      <c r="MWY103" s="7"/>
      <c r="MWZ103" s="4"/>
      <c r="MXE103" s="7"/>
      <c r="MXF103" s="7"/>
      <c r="MXG103" s="7"/>
      <c r="MXH103" s="4"/>
      <c r="MXM103" s="7"/>
      <c r="MXN103" s="7"/>
      <c r="MXO103" s="7"/>
      <c r="MXP103" s="4"/>
      <c r="MXU103" s="7"/>
      <c r="MXV103" s="7"/>
      <c r="MXW103" s="7"/>
      <c r="MXX103" s="4"/>
      <c r="MYC103" s="7"/>
      <c r="MYD103" s="7"/>
      <c r="MYE103" s="7"/>
      <c r="MYF103" s="4"/>
      <c r="MYK103" s="7"/>
      <c r="MYL103" s="7"/>
      <c r="MYM103" s="7"/>
      <c r="MYN103" s="4"/>
      <c r="MYS103" s="7"/>
      <c r="MYT103" s="7"/>
      <c r="MYU103" s="7"/>
      <c r="MYV103" s="4"/>
      <c r="MZA103" s="7"/>
      <c r="MZB103" s="7"/>
      <c r="MZC103" s="7"/>
      <c r="MZD103" s="4"/>
      <c r="MZI103" s="7"/>
      <c r="MZJ103" s="7"/>
      <c r="MZK103" s="7"/>
      <c r="MZL103" s="4"/>
      <c r="MZQ103" s="7"/>
      <c r="MZR103" s="7"/>
      <c r="MZS103" s="7"/>
      <c r="MZT103" s="4"/>
      <c r="MZY103" s="7"/>
      <c r="MZZ103" s="7"/>
      <c r="NAA103" s="7"/>
      <c r="NAB103" s="4"/>
      <c r="NAG103" s="7"/>
      <c r="NAH103" s="7"/>
      <c r="NAI103" s="7"/>
      <c r="NAJ103" s="4"/>
      <c r="NAO103" s="7"/>
      <c r="NAP103" s="7"/>
      <c r="NAQ103" s="7"/>
      <c r="NAR103" s="4"/>
      <c r="NAW103" s="7"/>
      <c r="NAX103" s="7"/>
      <c r="NAY103" s="7"/>
      <c r="NAZ103" s="4"/>
      <c r="NBE103" s="7"/>
      <c r="NBF103" s="7"/>
      <c r="NBG103" s="7"/>
      <c r="NBH103" s="4"/>
      <c r="NBM103" s="7"/>
      <c r="NBN103" s="7"/>
      <c r="NBO103" s="7"/>
      <c r="NBP103" s="4"/>
      <c r="NBU103" s="7"/>
      <c r="NBV103" s="7"/>
      <c r="NBW103" s="7"/>
      <c r="NBX103" s="4"/>
      <c r="NCC103" s="7"/>
      <c r="NCD103" s="7"/>
      <c r="NCE103" s="7"/>
      <c r="NCF103" s="4"/>
      <c r="NCK103" s="7"/>
      <c r="NCL103" s="7"/>
      <c r="NCM103" s="7"/>
      <c r="NCN103" s="4"/>
      <c r="NCS103" s="7"/>
      <c r="NCT103" s="7"/>
      <c r="NCU103" s="7"/>
      <c r="NCV103" s="4"/>
      <c r="NDA103" s="7"/>
      <c r="NDB103" s="7"/>
      <c r="NDC103" s="7"/>
      <c r="NDD103" s="4"/>
      <c r="NDI103" s="7"/>
      <c r="NDJ103" s="7"/>
      <c r="NDK103" s="7"/>
      <c r="NDL103" s="4"/>
      <c r="NDQ103" s="7"/>
      <c r="NDR103" s="7"/>
      <c r="NDS103" s="7"/>
      <c r="NDT103" s="4"/>
      <c r="NDY103" s="7"/>
      <c r="NDZ103" s="7"/>
      <c r="NEA103" s="7"/>
      <c r="NEB103" s="4"/>
      <c r="NEG103" s="7"/>
      <c r="NEH103" s="7"/>
      <c r="NEI103" s="7"/>
      <c r="NEJ103" s="4"/>
      <c r="NEO103" s="7"/>
      <c r="NEP103" s="7"/>
      <c r="NEQ103" s="7"/>
      <c r="NER103" s="4"/>
      <c r="NEW103" s="7"/>
      <c r="NEX103" s="7"/>
      <c r="NEY103" s="7"/>
      <c r="NEZ103" s="4"/>
      <c r="NFE103" s="7"/>
      <c r="NFF103" s="7"/>
      <c r="NFG103" s="7"/>
      <c r="NFH103" s="4"/>
      <c r="NFM103" s="7"/>
      <c r="NFN103" s="7"/>
      <c r="NFO103" s="7"/>
      <c r="NFP103" s="4"/>
      <c r="NFU103" s="7"/>
      <c r="NFV103" s="7"/>
      <c r="NFW103" s="7"/>
      <c r="NFX103" s="4"/>
      <c r="NGC103" s="7"/>
      <c r="NGD103" s="7"/>
      <c r="NGE103" s="7"/>
      <c r="NGF103" s="4"/>
      <c r="NGK103" s="7"/>
      <c r="NGL103" s="7"/>
      <c r="NGM103" s="7"/>
      <c r="NGN103" s="4"/>
      <c r="NGS103" s="7"/>
      <c r="NGT103" s="7"/>
      <c r="NGU103" s="7"/>
      <c r="NGV103" s="4"/>
      <c r="NHA103" s="7"/>
      <c r="NHB103" s="7"/>
      <c r="NHC103" s="7"/>
      <c r="NHD103" s="4"/>
      <c r="NHI103" s="7"/>
      <c r="NHJ103" s="7"/>
      <c r="NHK103" s="7"/>
      <c r="NHL103" s="4"/>
      <c r="NHQ103" s="7"/>
      <c r="NHR103" s="7"/>
      <c r="NHS103" s="7"/>
      <c r="NHT103" s="4"/>
      <c r="NHY103" s="7"/>
      <c r="NHZ103" s="7"/>
      <c r="NIA103" s="7"/>
      <c r="NIB103" s="4"/>
      <c r="NIG103" s="7"/>
      <c r="NIH103" s="7"/>
      <c r="NII103" s="7"/>
      <c r="NIJ103" s="4"/>
      <c r="NIO103" s="7"/>
      <c r="NIP103" s="7"/>
      <c r="NIQ103" s="7"/>
      <c r="NIR103" s="4"/>
      <c r="NIW103" s="7"/>
      <c r="NIX103" s="7"/>
      <c r="NIY103" s="7"/>
      <c r="NIZ103" s="4"/>
      <c r="NJE103" s="7"/>
      <c r="NJF103" s="7"/>
      <c r="NJG103" s="7"/>
      <c r="NJH103" s="4"/>
      <c r="NJM103" s="7"/>
      <c r="NJN103" s="7"/>
      <c r="NJO103" s="7"/>
      <c r="NJP103" s="4"/>
      <c r="NJU103" s="7"/>
      <c r="NJV103" s="7"/>
      <c r="NJW103" s="7"/>
      <c r="NJX103" s="4"/>
      <c r="NKC103" s="7"/>
      <c r="NKD103" s="7"/>
      <c r="NKE103" s="7"/>
      <c r="NKF103" s="4"/>
      <c r="NKK103" s="7"/>
      <c r="NKL103" s="7"/>
      <c r="NKM103" s="7"/>
      <c r="NKN103" s="4"/>
      <c r="NKS103" s="7"/>
      <c r="NKT103" s="7"/>
      <c r="NKU103" s="7"/>
      <c r="NKV103" s="4"/>
      <c r="NLA103" s="7"/>
      <c r="NLB103" s="7"/>
      <c r="NLC103" s="7"/>
      <c r="NLD103" s="4"/>
      <c r="NLI103" s="7"/>
      <c r="NLJ103" s="7"/>
      <c r="NLK103" s="7"/>
      <c r="NLL103" s="4"/>
      <c r="NLQ103" s="7"/>
      <c r="NLR103" s="7"/>
      <c r="NLS103" s="7"/>
      <c r="NLT103" s="4"/>
      <c r="NLY103" s="7"/>
      <c r="NLZ103" s="7"/>
      <c r="NMA103" s="7"/>
      <c r="NMB103" s="4"/>
      <c r="NMG103" s="7"/>
      <c r="NMH103" s="7"/>
      <c r="NMI103" s="7"/>
      <c r="NMJ103" s="4"/>
      <c r="NMO103" s="7"/>
      <c r="NMP103" s="7"/>
      <c r="NMQ103" s="7"/>
      <c r="NMR103" s="4"/>
      <c r="NMW103" s="7"/>
      <c r="NMX103" s="7"/>
      <c r="NMY103" s="7"/>
      <c r="NMZ103" s="4"/>
      <c r="NNE103" s="7"/>
      <c r="NNF103" s="7"/>
      <c r="NNG103" s="7"/>
      <c r="NNH103" s="4"/>
      <c r="NNM103" s="7"/>
      <c r="NNN103" s="7"/>
      <c r="NNO103" s="7"/>
      <c r="NNP103" s="4"/>
      <c r="NNU103" s="7"/>
      <c r="NNV103" s="7"/>
      <c r="NNW103" s="7"/>
      <c r="NNX103" s="4"/>
      <c r="NOC103" s="7"/>
      <c r="NOD103" s="7"/>
      <c r="NOE103" s="7"/>
      <c r="NOF103" s="4"/>
      <c r="NOK103" s="7"/>
      <c r="NOL103" s="7"/>
      <c r="NOM103" s="7"/>
      <c r="NON103" s="4"/>
      <c r="NOS103" s="7"/>
      <c r="NOT103" s="7"/>
      <c r="NOU103" s="7"/>
      <c r="NOV103" s="4"/>
      <c r="NPA103" s="7"/>
      <c r="NPB103" s="7"/>
      <c r="NPC103" s="7"/>
      <c r="NPD103" s="4"/>
      <c r="NPI103" s="7"/>
      <c r="NPJ103" s="7"/>
      <c r="NPK103" s="7"/>
      <c r="NPL103" s="4"/>
      <c r="NPQ103" s="7"/>
      <c r="NPR103" s="7"/>
      <c r="NPS103" s="7"/>
      <c r="NPT103" s="4"/>
      <c r="NPY103" s="7"/>
      <c r="NPZ103" s="7"/>
      <c r="NQA103" s="7"/>
      <c r="NQB103" s="4"/>
      <c r="NQG103" s="7"/>
      <c r="NQH103" s="7"/>
      <c r="NQI103" s="7"/>
      <c r="NQJ103" s="4"/>
      <c r="NQO103" s="7"/>
      <c r="NQP103" s="7"/>
      <c r="NQQ103" s="7"/>
      <c r="NQR103" s="4"/>
      <c r="NQW103" s="7"/>
      <c r="NQX103" s="7"/>
      <c r="NQY103" s="7"/>
      <c r="NQZ103" s="4"/>
      <c r="NRE103" s="7"/>
      <c r="NRF103" s="7"/>
      <c r="NRG103" s="7"/>
      <c r="NRH103" s="4"/>
      <c r="NRM103" s="7"/>
      <c r="NRN103" s="7"/>
      <c r="NRO103" s="7"/>
      <c r="NRP103" s="4"/>
      <c r="NRU103" s="7"/>
      <c r="NRV103" s="7"/>
      <c r="NRW103" s="7"/>
      <c r="NRX103" s="4"/>
      <c r="NSC103" s="7"/>
      <c r="NSD103" s="7"/>
      <c r="NSE103" s="7"/>
      <c r="NSF103" s="4"/>
      <c r="NSK103" s="7"/>
      <c r="NSL103" s="7"/>
      <c r="NSM103" s="7"/>
      <c r="NSN103" s="4"/>
      <c r="NSS103" s="7"/>
      <c r="NST103" s="7"/>
      <c r="NSU103" s="7"/>
      <c r="NSV103" s="4"/>
      <c r="NTA103" s="7"/>
      <c r="NTB103" s="7"/>
      <c r="NTC103" s="7"/>
      <c r="NTD103" s="4"/>
      <c r="NTI103" s="7"/>
      <c r="NTJ103" s="7"/>
      <c r="NTK103" s="7"/>
      <c r="NTL103" s="4"/>
      <c r="NTQ103" s="7"/>
      <c r="NTR103" s="7"/>
      <c r="NTS103" s="7"/>
      <c r="NTT103" s="4"/>
      <c r="NTY103" s="7"/>
      <c r="NTZ103" s="7"/>
      <c r="NUA103" s="7"/>
      <c r="NUB103" s="4"/>
      <c r="NUG103" s="7"/>
      <c r="NUH103" s="7"/>
      <c r="NUI103" s="7"/>
      <c r="NUJ103" s="4"/>
      <c r="NUO103" s="7"/>
      <c r="NUP103" s="7"/>
      <c r="NUQ103" s="7"/>
      <c r="NUR103" s="4"/>
      <c r="NUW103" s="7"/>
      <c r="NUX103" s="7"/>
      <c r="NUY103" s="7"/>
      <c r="NUZ103" s="4"/>
      <c r="NVE103" s="7"/>
      <c r="NVF103" s="7"/>
      <c r="NVG103" s="7"/>
      <c r="NVH103" s="4"/>
      <c r="NVM103" s="7"/>
      <c r="NVN103" s="7"/>
      <c r="NVO103" s="7"/>
      <c r="NVP103" s="4"/>
      <c r="NVU103" s="7"/>
      <c r="NVV103" s="7"/>
      <c r="NVW103" s="7"/>
      <c r="NVX103" s="4"/>
      <c r="NWC103" s="7"/>
      <c r="NWD103" s="7"/>
      <c r="NWE103" s="7"/>
      <c r="NWF103" s="4"/>
      <c r="NWK103" s="7"/>
      <c r="NWL103" s="7"/>
      <c r="NWM103" s="7"/>
      <c r="NWN103" s="4"/>
      <c r="NWS103" s="7"/>
      <c r="NWT103" s="7"/>
      <c r="NWU103" s="7"/>
      <c r="NWV103" s="4"/>
      <c r="NXA103" s="7"/>
      <c r="NXB103" s="7"/>
      <c r="NXC103" s="7"/>
      <c r="NXD103" s="4"/>
      <c r="NXI103" s="7"/>
      <c r="NXJ103" s="7"/>
      <c r="NXK103" s="7"/>
      <c r="NXL103" s="4"/>
      <c r="NXQ103" s="7"/>
      <c r="NXR103" s="7"/>
      <c r="NXS103" s="7"/>
      <c r="NXT103" s="4"/>
      <c r="NXY103" s="7"/>
      <c r="NXZ103" s="7"/>
      <c r="NYA103" s="7"/>
      <c r="NYB103" s="4"/>
      <c r="NYG103" s="7"/>
      <c r="NYH103" s="7"/>
      <c r="NYI103" s="7"/>
      <c r="NYJ103" s="4"/>
      <c r="NYO103" s="7"/>
      <c r="NYP103" s="7"/>
      <c r="NYQ103" s="7"/>
      <c r="NYR103" s="4"/>
      <c r="NYW103" s="7"/>
      <c r="NYX103" s="7"/>
      <c r="NYY103" s="7"/>
      <c r="NYZ103" s="4"/>
      <c r="NZE103" s="7"/>
      <c r="NZF103" s="7"/>
      <c r="NZG103" s="7"/>
      <c r="NZH103" s="4"/>
      <c r="NZM103" s="7"/>
      <c r="NZN103" s="7"/>
      <c r="NZO103" s="7"/>
      <c r="NZP103" s="4"/>
      <c r="NZU103" s="7"/>
      <c r="NZV103" s="7"/>
      <c r="NZW103" s="7"/>
      <c r="NZX103" s="4"/>
      <c r="OAC103" s="7"/>
      <c r="OAD103" s="7"/>
      <c r="OAE103" s="7"/>
      <c r="OAF103" s="4"/>
      <c r="OAK103" s="7"/>
      <c r="OAL103" s="7"/>
      <c r="OAM103" s="7"/>
      <c r="OAN103" s="4"/>
      <c r="OAS103" s="7"/>
      <c r="OAT103" s="7"/>
      <c r="OAU103" s="7"/>
      <c r="OAV103" s="4"/>
      <c r="OBA103" s="7"/>
      <c r="OBB103" s="7"/>
      <c r="OBC103" s="7"/>
      <c r="OBD103" s="4"/>
      <c r="OBI103" s="7"/>
      <c r="OBJ103" s="7"/>
      <c r="OBK103" s="7"/>
      <c r="OBL103" s="4"/>
      <c r="OBQ103" s="7"/>
      <c r="OBR103" s="7"/>
      <c r="OBS103" s="7"/>
      <c r="OBT103" s="4"/>
      <c r="OBY103" s="7"/>
      <c r="OBZ103" s="7"/>
      <c r="OCA103" s="7"/>
      <c r="OCB103" s="4"/>
      <c r="OCG103" s="7"/>
      <c r="OCH103" s="7"/>
      <c r="OCI103" s="7"/>
      <c r="OCJ103" s="4"/>
      <c r="OCO103" s="7"/>
      <c r="OCP103" s="7"/>
      <c r="OCQ103" s="7"/>
      <c r="OCR103" s="4"/>
      <c r="OCW103" s="7"/>
      <c r="OCX103" s="7"/>
      <c r="OCY103" s="7"/>
      <c r="OCZ103" s="4"/>
      <c r="ODE103" s="7"/>
      <c r="ODF103" s="7"/>
      <c r="ODG103" s="7"/>
      <c r="ODH103" s="4"/>
      <c r="ODM103" s="7"/>
      <c r="ODN103" s="7"/>
      <c r="ODO103" s="7"/>
      <c r="ODP103" s="4"/>
      <c r="ODU103" s="7"/>
      <c r="ODV103" s="7"/>
      <c r="ODW103" s="7"/>
      <c r="ODX103" s="4"/>
      <c r="OEC103" s="7"/>
      <c r="OED103" s="7"/>
      <c r="OEE103" s="7"/>
      <c r="OEF103" s="4"/>
      <c r="OEK103" s="7"/>
      <c r="OEL103" s="7"/>
      <c r="OEM103" s="7"/>
      <c r="OEN103" s="4"/>
      <c r="OES103" s="7"/>
      <c r="OET103" s="7"/>
      <c r="OEU103" s="7"/>
      <c r="OEV103" s="4"/>
      <c r="OFA103" s="7"/>
      <c r="OFB103" s="7"/>
      <c r="OFC103" s="7"/>
      <c r="OFD103" s="4"/>
      <c r="OFI103" s="7"/>
      <c r="OFJ103" s="7"/>
      <c r="OFK103" s="7"/>
      <c r="OFL103" s="4"/>
      <c r="OFQ103" s="7"/>
      <c r="OFR103" s="7"/>
      <c r="OFS103" s="7"/>
      <c r="OFT103" s="4"/>
      <c r="OFY103" s="7"/>
      <c r="OFZ103" s="7"/>
      <c r="OGA103" s="7"/>
      <c r="OGB103" s="4"/>
      <c r="OGG103" s="7"/>
      <c r="OGH103" s="7"/>
      <c r="OGI103" s="7"/>
      <c r="OGJ103" s="4"/>
      <c r="OGO103" s="7"/>
      <c r="OGP103" s="7"/>
      <c r="OGQ103" s="7"/>
      <c r="OGR103" s="4"/>
      <c r="OGW103" s="7"/>
      <c r="OGX103" s="7"/>
      <c r="OGY103" s="7"/>
      <c r="OGZ103" s="4"/>
      <c r="OHE103" s="7"/>
      <c r="OHF103" s="7"/>
      <c r="OHG103" s="7"/>
      <c r="OHH103" s="4"/>
      <c r="OHM103" s="7"/>
      <c r="OHN103" s="7"/>
      <c r="OHO103" s="7"/>
      <c r="OHP103" s="4"/>
      <c r="OHU103" s="7"/>
      <c r="OHV103" s="7"/>
      <c r="OHW103" s="7"/>
      <c r="OHX103" s="4"/>
      <c r="OIC103" s="7"/>
      <c r="OID103" s="7"/>
      <c r="OIE103" s="7"/>
      <c r="OIF103" s="4"/>
      <c r="OIK103" s="7"/>
      <c r="OIL103" s="7"/>
      <c r="OIM103" s="7"/>
      <c r="OIN103" s="4"/>
      <c r="OIS103" s="7"/>
      <c r="OIT103" s="7"/>
      <c r="OIU103" s="7"/>
      <c r="OIV103" s="4"/>
      <c r="OJA103" s="7"/>
      <c r="OJB103" s="7"/>
      <c r="OJC103" s="7"/>
      <c r="OJD103" s="4"/>
      <c r="OJI103" s="7"/>
      <c r="OJJ103" s="7"/>
      <c r="OJK103" s="7"/>
      <c r="OJL103" s="4"/>
      <c r="OJQ103" s="7"/>
      <c r="OJR103" s="7"/>
      <c r="OJS103" s="7"/>
      <c r="OJT103" s="4"/>
      <c r="OJY103" s="7"/>
      <c r="OJZ103" s="7"/>
      <c r="OKA103" s="7"/>
      <c r="OKB103" s="4"/>
      <c r="OKG103" s="7"/>
      <c r="OKH103" s="7"/>
      <c r="OKI103" s="7"/>
      <c r="OKJ103" s="4"/>
      <c r="OKO103" s="7"/>
      <c r="OKP103" s="7"/>
      <c r="OKQ103" s="7"/>
      <c r="OKR103" s="4"/>
      <c r="OKW103" s="7"/>
      <c r="OKX103" s="7"/>
      <c r="OKY103" s="7"/>
      <c r="OKZ103" s="4"/>
      <c r="OLE103" s="7"/>
      <c r="OLF103" s="7"/>
      <c r="OLG103" s="7"/>
      <c r="OLH103" s="4"/>
      <c r="OLM103" s="7"/>
      <c r="OLN103" s="7"/>
      <c r="OLO103" s="7"/>
      <c r="OLP103" s="4"/>
      <c r="OLU103" s="7"/>
      <c r="OLV103" s="7"/>
      <c r="OLW103" s="7"/>
      <c r="OLX103" s="4"/>
      <c r="OMC103" s="7"/>
      <c r="OMD103" s="7"/>
      <c r="OME103" s="7"/>
      <c r="OMF103" s="4"/>
      <c r="OMK103" s="7"/>
      <c r="OML103" s="7"/>
      <c r="OMM103" s="7"/>
      <c r="OMN103" s="4"/>
      <c r="OMS103" s="7"/>
      <c r="OMT103" s="7"/>
      <c r="OMU103" s="7"/>
      <c r="OMV103" s="4"/>
      <c r="ONA103" s="7"/>
      <c r="ONB103" s="7"/>
      <c r="ONC103" s="7"/>
      <c r="OND103" s="4"/>
      <c r="ONI103" s="7"/>
      <c r="ONJ103" s="7"/>
      <c r="ONK103" s="7"/>
      <c r="ONL103" s="4"/>
      <c r="ONQ103" s="7"/>
      <c r="ONR103" s="7"/>
      <c r="ONS103" s="7"/>
      <c r="ONT103" s="4"/>
      <c r="ONY103" s="7"/>
      <c r="ONZ103" s="7"/>
      <c r="OOA103" s="7"/>
      <c r="OOB103" s="4"/>
      <c r="OOG103" s="7"/>
      <c r="OOH103" s="7"/>
      <c r="OOI103" s="7"/>
      <c r="OOJ103" s="4"/>
      <c r="OOO103" s="7"/>
      <c r="OOP103" s="7"/>
      <c r="OOQ103" s="7"/>
      <c r="OOR103" s="4"/>
      <c r="OOW103" s="7"/>
      <c r="OOX103" s="7"/>
      <c r="OOY103" s="7"/>
      <c r="OOZ103" s="4"/>
      <c r="OPE103" s="7"/>
      <c r="OPF103" s="7"/>
      <c r="OPG103" s="7"/>
      <c r="OPH103" s="4"/>
      <c r="OPM103" s="7"/>
      <c r="OPN103" s="7"/>
      <c r="OPO103" s="7"/>
      <c r="OPP103" s="4"/>
      <c r="OPU103" s="7"/>
      <c r="OPV103" s="7"/>
      <c r="OPW103" s="7"/>
      <c r="OPX103" s="4"/>
      <c r="OQC103" s="7"/>
      <c r="OQD103" s="7"/>
      <c r="OQE103" s="7"/>
      <c r="OQF103" s="4"/>
      <c r="OQK103" s="7"/>
      <c r="OQL103" s="7"/>
      <c r="OQM103" s="7"/>
      <c r="OQN103" s="4"/>
      <c r="OQS103" s="7"/>
      <c r="OQT103" s="7"/>
      <c r="OQU103" s="7"/>
      <c r="OQV103" s="4"/>
      <c r="ORA103" s="7"/>
      <c r="ORB103" s="7"/>
      <c r="ORC103" s="7"/>
      <c r="ORD103" s="4"/>
      <c r="ORI103" s="7"/>
      <c r="ORJ103" s="7"/>
      <c r="ORK103" s="7"/>
      <c r="ORL103" s="4"/>
      <c r="ORQ103" s="7"/>
      <c r="ORR103" s="7"/>
      <c r="ORS103" s="7"/>
      <c r="ORT103" s="4"/>
      <c r="ORY103" s="7"/>
      <c r="ORZ103" s="7"/>
      <c r="OSA103" s="7"/>
      <c r="OSB103" s="4"/>
      <c r="OSG103" s="7"/>
      <c r="OSH103" s="7"/>
      <c r="OSI103" s="7"/>
      <c r="OSJ103" s="4"/>
      <c r="OSO103" s="7"/>
      <c r="OSP103" s="7"/>
      <c r="OSQ103" s="7"/>
      <c r="OSR103" s="4"/>
      <c r="OSW103" s="7"/>
      <c r="OSX103" s="7"/>
      <c r="OSY103" s="7"/>
      <c r="OSZ103" s="4"/>
      <c r="OTE103" s="7"/>
      <c r="OTF103" s="7"/>
      <c r="OTG103" s="7"/>
      <c r="OTH103" s="4"/>
      <c r="OTM103" s="7"/>
      <c r="OTN103" s="7"/>
      <c r="OTO103" s="7"/>
      <c r="OTP103" s="4"/>
      <c r="OTU103" s="7"/>
      <c r="OTV103" s="7"/>
      <c r="OTW103" s="7"/>
      <c r="OTX103" s="4"/>
      <c r="OUC103" s="7"/>
      <c r="OUD103" s="7"/>
      <c r="OUE103" s="7"/>
      <c r="OUF103" s="4"/>
      <c r="OUK103" s="7"/>
      <c r="OUL103" s="7"/>
      <c r="OUM103" s="7"/>
      <c r="OUN103" s="4"/>
      <c r="OUS103" s="7"/>
      <c r="OUT103" s="7"/>
      <c r="OUU103" s="7"/>
      <c r="OUV103" s="4"/>
      <c r="OVA103" s="7"/>
      <c r="OVB103" s="7"/>
      <c r="OVC103" s="7"/>
      <c r="OVD103" s="4"/>
      <c r="OVI103" s="7"/>
      <c r="OVJ103" s="7"/>
      <c r="OVK103" s="7"/>
      <c r="OVL103" s="4"/>
      <c r="OVQ103" s="7"/>
      <c r="OVR103" s="7"/>
      <c r="OVS103" s="7"/>
      <c r="OVT103" s="4"/>
      <c r="OVY103" s="7"/>
      <c r="OVZ103" s="7"/>
      <c r="OWA103" s="7"/>
      <c r="OWB103" s="4"/>
      <c r="OWG103" s="7"/>
      <c r="OWH103" s="7"/>
      <c r="OWI103" s="7"/>
      <c r="OWJ103" s="4"/>
      <c r="OWO103" s="7"/>
      <c r="OWP103" s="7"/>
      <c r="OWQ103" s="7"/>
      <c r="OWR103" s="4"/>
      <c r="OWW103" s="7"/>
      <c r="OWX103" s="7"/>
      <c r="OWY103" s="7"/>
      <c r="OWZ103" s="4"/>
      <c r="OXE103" s="7"/>
      <c r="OXF103" s="7"/>
      <c r="OXG103" s="7"/>
      <c r="OXH103" s="4"/>
      <c r="OXM103" s="7"/>
      <c r="OXN103" s="7"/>
      <c r="OXO103" s="7"/>
      <c r="OXP103" s="4"/>
      <c r="OXU103" s="7"/>
      <c r="OXV103" s="7"/>
      <c r="OXW103" s="7"/>
      <c r="OXX103" s="4"/>
      <c r="OYC103" s="7"/>
      <c r="OYD103" s="7"/>
      <c r="OYE103" s="7"/>
      <c r="OYF103" s="4"/>
      <c r="OYK103" s="7"/>
      <c r="OYL103" s="7"/>
      <c r="OYM103" s="7"/>
      <c r="OYN103" s="4"/>
      <c r="OYS103" s="7"/>
      <c r="OYT103" s="7"/>
      <c r="OYU103" s="7"/>
      <c r="OYV103" s="4"/>
      <c r="OZA103" s="7"/>
      <c r="OZB103" s="7"/>
      <c r="OZC103" s="7"/>
      <c r="OZD103" s="4"/>
      <c r="OZI103" s="7"/>
      <c r="OZJ103" s="7"/>
      <c r="OZK103" s="7"/>
      <c r="OZL103" s="4"/>
      <c r="OZQ103" s="7"/>
      <c r="OZR103" s="7"/>
      <c r="OZS103" s="7"/>
      <c r="OZT103" s="4"/>
      <c r="OZY103" s="7"/>
      <c r="OZZ103" s="7"/>
      <c r="PAA103" s="7"/>
      <c r="PAB103" s="4"/>
      <c r="PAG103" s="7"/>
      <c r="PAH103" s="7"/>
      <c r="PAI103" s="7"/>
      <c r="PAJ103" s="4"/>
      <c r="PAO103" s="7"/>
      <c r="PAP103" s="7"/>
      <c r="PAQ103" s="7"/>
      <c r="PAR103" s="4"/>
      <c r="PAW103" s="7"/>
      <c r="PAX103" s="7"/>
      <c r="PAY103" s="7"/>
      <c r="PAZ103" s="4"/>
      <c r="PBE103" s="7"/>
      <c r="PBF103" s="7"/>
      <c r="PBG103" s="7"/>
      <c r="PBH103" s="4"/>
      <c r="PBM103" s="7"/>
      <c r="PBN103" s="7"/>
      <c r="PBO103" s="7"/>
      <c r="PBP103" s="4"/>
      <c r="PBU103" s="7"/>
      <c r="PBV103" s="7"/>
      <c r="PBW103" s="7"/>
      <c r="PBX103" s="4"/>
      <c r="PCC103" s="7"/>
      <c r="PCD103" s="7"/>
      <c r="PCE103" s="7"/>
      <c r="PCF103" s="4"/>
      <c r="PCK103" s="7"/>
      <c r="PCL103" s="7"/>
      <c r="PCM103" s="7"/>
      <c r="PCN103" s="4"/>
      <c r="PCS103" s="7"/>
      <c r="PCT103" s="7"/>
      <c r="PCU103" s="7"/>
      <c r="PCV103" s="4"/>
      <c r="PDA103" s="7"/>
      <c r="PDB103" s="7"/>
      <c r="PDC103" s="7"/>
      <c r="PDD103" s="4"/>
      <c r="PDI103" s="7"/>
      <c r="PDJ103" s="7"/>
      <c r="PDK103" s="7"/>
      <c r="PDL103" s="4"/>
      <c r="PDQ103" s="7"/>
      <c r="PDR103" s="7"/>
      <c r="PDS103" s="7"/>
      <c r="PDT103" s="4"/>
      <c r="PDY103" s="7"/>
      <c r="PDZ103" s="7"/>
      <c r="PEA103" s="7"/>
      <c r="PEB103" s="4"/>
      <c r="PEG103" s="7"/>
      <c r="PEH103" s="7"/>
      <c r="PEI103" s="7"/>
      <c r="PEJ103" s="4"/>
      <c r="PEO103" s="7"/>
      <c r="PEP103" s="7"/>
      <c r="PEQ103" s="7"/>
      <c r="PER103" s="4"/>
      <c r="PEW103" s="7"/>
      <c r="PEX103" s="7"/>
      <c r="PEY103" s="7"/>
      <c r="PEZ103" s="4"/>
      <c r="PFE103" s="7"/>
      <c r="PFF103" s="7"/>
      <c r="PFG103" s="7"/>
      <c r="PFH103" s="4"/>
      <c r="PFM103" s="7"/>
      <c r="PFN103" s="7"/>
      <c r="PFO103" s="7"/>
      <c r="PFP103" s="4"/>
      <c r="PFU103" s="7"/>
      <c r="PFV103" s="7"/>
      <c r="PFW103" s="7"/>
      <c r="PFX103" s="4"/>
      <c r="PGC103" s="7"/>
      <c r="PGD103" s="7"/>
      <c r="PGE103" s="7"/>
      <c r="PGF103" s="4"/>
      <c r="PGK103" s="7"/>
      <c r="PGL103" s="7"/>
      <c r="PGM103" s="7"/>
      <c r="PGN103" s="4"/>
      <c r="PGS103" s="7"/>
      <c r="PGT103" s="7"/>
      <c r="PGU103" s="7"/>
      <c r="PGV103" s="4"/>
      <c r="PHA103" s="7"/>
      <c r="PHB103" s="7"/>
      <c r="PHC103" s="7"/>
      <c r="PHD103" s="4"/>
      <c r="PHI103" s="7"/>
      <c r="PHJ103" s="7"/>
      <c r="PHK103" s="7"/>
      <c r="PHL103" s="4"/>
      <c r="PHQ103" s="7"/>
      <c r="PHR103" s="7"/>
      <c r="PHS103" s="7"/>
      <c r="PHT103" s="4"/>
      <c r="PHY103" s="7"/>
      <c r="PHZ103" s="7"/>
      <c r="PIA103" s="7"/>
      <c r="PIB103" s="4"/>
      <c r="PIG103" s="7"/>
      <c r="PIH103" s="7"/>
      <c r="PII103" s="7"/>
      <c r="PIJ103" s="4"/>
      <c r="PIO103" s="7"/>
      <c r="PIP103" s="7"/>
      <c r="PIQ103" s="7"/>
      <c r="PIR103" s="4"/>
      <c r="PIW103" s="7"/>
      <c r="PIX103" s="7"/>
      <c r="PIY103" s="7"/>
      <c r="PIZ103" s="4"/>
      <c r="PJE103" s="7"/>
      <c r="PJF103" s="7"/>
      <c r="PJG103" s="7"/>
      <c r="PJH103" s="4"/>
      <c r="PJM103" s="7"/>
      <c r="PJN103" s="7"/>
      <c r="PJO103" s="7"/>
      <c r="PJP103" s="4"/>
      <c r="PJU103" s="7"/>
      <c r="PJV103" s="7"/>
      <c r="PJW103" s="7"/>
      <c r="PJX103" s="4"/>
      <c r="PKC103" s="7"/>
      <c r="PKD103" s="7"/>
      <c r="PKE103" s="7"/>
      <c r="PKF103" s="4"/>
      <c r="PKK103" s="7"/>
      <c r="PKL103" s="7"/>
      <c r="PKM103" s="7"/>
      <c r="PKN103" s="4"/>
      <c r="PKS103" s="7"/>
      <c r="PKT103" s="7"/>
      <c r="PKU103" s="7"/>
      <c r="PKV103" s="4"/>
      <c r="PLA103" s="7"/>
      <c r="PLB103" s="7"/>
      <c r="PLC103" s="7"/>
      <c r="PLD103" s="4"/>
      <c r="PLI103" s="7"/>
      <c r="PLJ103" s="7"/>
      <c r="PLK103" s="7"/>
      <c r="PLL103" s="4"/>
      <c r="PLQ103" s="7"/>
      <c r="PLR103" s="7"/>
      <c r="PLS103" s="7"/>
      <c r="PLT103" s="4"/>
      <c r="PLY103" s="7"/>
      <c r="PLZ103" s="7"/>
      <c r="PMA103" s="7"/>
      <c r="PMB103" s="4"/>
      <c r="PMG103" s="7"/>
      <c r="PMH103" s="7"/>
      <c r="PMI103" s="7"/>
      <c r="PMJ103" s="4"/>
      <c r="PMO103" s="7"/>
      <c r="PMP103" s="7"/>
      <c r="PMQ103" s="7"/>
      <c r="PMR103" s="4"/>
      <c r="PMW103" s="7"/>
      <c r="PMX103" s="7"/>
      <c r="PMY103" s="7"/>
      <c r="PMZ103" s="4"/>
      <c r="PNE103" s="7"/>
      <c r="PNF103" s="7"/>
      <c r="PNG103" s="7"/>
      <c r="PNH103" s="4"/>
      <c r="PNM103" s="7"/>
      <c r="PNN103" s="7"/>
      <c r="PNO103" s="7"/>
      <c r="PNP103" s="4"/>
      <c r="PNU103" s="7"/>
      <c r="PNV103" s="7"/>
      <c r="PNW103" s="7"/>
      <c r="PNX103" s="4"/>
      <c r="POC103" s="7"/>
      <c r="POD103" s="7"/>
      <c r="POE103" s="7"/>
      <c r="POF103" s="4"/>
      <c r="POK103" s="7"/>
      <c r="POL103" s="7"/>
      <c r="POM103" s="7"/>
      <c r="PON103" s="4"/>
      <c r="POS103" s="7"/>
      <c r="POT103" s="7"/>
      <c r="POU103" s="7"/>
      <c r="POV103" s="4"/>
      <c r="PPA103" s="7"/>
      <c r="PPB103" s="7"/>
      <c r="PPC103" s="7"/>
      <c r="PPD103" s="4"/>
      <c r="PPI103" s="7"/>
      <c r="PPJ103" s="7"/>
      <c r="PPK103" s="7"/>
      <c r="PPL103" s="4"/>
      <c r="PPQ103" s="7"/>
      <c r="PPR103" s="7"/>
      <c r="PPS103" s="7"/>
      <c r="PPT103" s="4"/>
      <c r="PPY103" s="7"/>
      <c r="PPZ103" s="7"/>
      <c r="PQA103" s="7"/>
      <c r="PQB103" s="4"/>
      <c r="PQG103" s="7"/>
      <c r="PQH103" s="7"/>
      <c r="PQI103" s="7"/>
      <c r="PQJ103" s="4"/>
      <c r="PQO103" s="7"/>
      <c r="PQP103" s="7"/>
      <c r="PQQ103" s="7"/>
      <c r="PQR103" s="4"/>
      <c r="PQW103" s="7"/>
      <c r="PQX103" s="7"/>
      <c r="PQY103" s="7"/>
      <c r="PQZ103" s="4"/>
      <c r="PRE103" s="7"/>
      <c r="PRF103" s="7"/>
      <c r="PRG103" s="7"/>
      <c r="PRH103" s="4"/>
      <c r="PRM103" s="7"/>
      <c r="PRN103" s="7"/>
      <c r="PRO103" s="7"/>
      <c r="PRP103" s="4"/>
      <c r="PRU103" s="7"/>
      <c r="PRV103" s="7"/>
      <c r="PRW103" s="7"/>
      <c r="PRX103" s="4"/>
      <c r="PSC103" s="7"/>
      <c r="PSD103" s="7"/>
      <c r="PSE103" s="7"/>
      <c r="PSF103" s="4"/>
      <c r="PSK103" s="7"/>
      <c r="PSL103" s="7"/>
      <c r="PSM103" s="7"/>
      <c r="PSN103" s="4"/>
      <c r="PSS103" s="7"/>
      <c r="PST103" s="7"/>
      <c r="PSU103" s="7"/>
      <c r="PSV103" s="4"/>
      <c r="PTA103" s="7"/>
      <c r="PTB103" s="7"/>
      <c r="PTC103" s="7"/>
      <c r="PTD103" s="4"/>
      <c r="PTI103" s="7"/>
      <c r="PTJ103" s="7"/>
      <c r="PTK103" s="7"/>
      <c r="PTL103" s="4"/>
      <c r="PTQ103" s="7"/>
      <c r="PTR103" s="7"/>
      <c r="PTS103" s="7"/>
      <c r="PTT103" s="4"/>
      <c r="PTY103" s="7"/>
      <c r="PTZ103" s="7"/>
      <c r="PUA103" s="7"/>
      <c r="PUB103" s="4"/>
      <c r="PUG103" s="7"/>
      <c r="PUH103" s="7"/>
      <c r="PUI103" s="7"/>
      <c r="PUJ103" s="4"/>
      <c r="PUO103" s="7"/>
      <c r="PUP103" s="7"/>
      <c r="PUQ103" s="7"/>
      <c r="PUR103" s="4"/>
      <c r="PUW103" s="7"/>
      <c r="PUX103" s="7"/>
      <c r="PUY103" s="7"/>
      <c r="PUZ103" s="4"/>
      <c r="PVE103" s="7"/>
      <c r="PVF103" s="7"/>
      <c r="PVG103" s="7"/>
      <c r="PVH103" s="4"/>
      <c r="PVM103" s="7"/>
      <c r="PVN103" s="7"/>
      <c r="PVO103" s="7"/>
      <c r="PVP103" s="4"/>
      <c r="PVU103" s="7"/>
      <c r="PVV103" s="7"/>
      <c r="PVW103" s="7"/>
      <c r="PVX103" s="4"/>
      <c r="PWC103" s="7"/>
      <c r="PWD103" s="7"/>
      <c r="PWE103" s="7"/>
      <c r="PWF103" s="4"/>
      <c r="PWK103" s="7"/>
      <c r="PWL103" s="7"/>
      <c r="PWM103" s="7"/>
      <c r="PWN103" s="4"/>
      <c r="PWS103" s="7"/>
      <c r="PWT103" s="7"/>
      <c r="PWU103" s="7"/>
      <c r="PWV103" s="4"/>
      <c r="PXA103" s="7"/>
      <c r="PXB103" s="7"/>
      <c r="PXC103" s="7"/>
      <c r="PXD103" s="4"/>
      <c r="PXI103" s="7"/>
      <c r="PXJ103" s="7"/>
      <c r="PXK103" s="7"/>
      <c r="PXL103" s="4"/>
      <c r="PXQ103" s="7"/>
      <c r="PXR103" s="7"/>
      <c r="PXS103" s="7"/>
      <c r="PXT103" s="4"/>
      <c r="PXY103" s="7"/>
      <c r="PXZ103" s="7"/>
      <c r="PYA103" s="7"/>
      <c r="PYB103" s="4"/>
      <c r="PYG103" s="7"/>
      <c r="PYH103" s="7"/>
      <c r="PYI103" s="7"/>
      <c r="PYJ103" s="4"/>
      <c r="PYO103" s="7"/>
      <c r="PYP103" s="7"/>
      <c r="PYQ103" s="7"/>
      <c r="PYR103" s="4"/>
      <c r="PYW103" s="7"/>
      <c r="PYX103" s="7"/>
      <c r="PYY103" s="7"/>
      <c r="PYZ103" s="4"/>
      <c r="PZE103" s="7"/>
      <c r="PZF103" s="7"/>
      <c r="PZG103" s="7"/>
      <c r="PZH103" s="4"/>
      <c r="PZM103" s="7"/>
      <c r="PZN103" s="7"/>
      <c r="PZO103" s="7"/>
      <c r="PZP103" s="4"/>
      <c r="PZU103" s="7"/>
      <c r="PZV103" s="7"/>
      <c r="PZW103" s="7"/>
      <c r="PZX103" s="4"/>
      <c r="QAC103" s="7"/>
      <c r="QAD103" s="7"/>
      <c r="QAE103" s="7"/>
      <c r="QAF103" s="4"/>
      <c r="QAK103" s="7"/>
      <c r="QAL103" s="7"/>
      <c r="QAM103" s="7"/>
      <c r="QAN103" s="4"/>
      <c r="QAS103" s="7"/>
      <c r="QAT103" s="7"/>
      <c r="QAU103" s="7"/>
      <c r="QAV103" s="4"/>
      <c r="QBA103" s="7"/>
      <c r="QBB103" s="7"/>
      <c r="QBC103" s="7"/>
      <c r="QBD103" s="4"/>
      <c r="QBI103" s="7"/>
      <c r="QBJ103" s="7"/>
      <c r="QBK103" s="7"/>
      <c r="QBL103" s="4"/>
      <c r="QBQ103" s="7"/>
      <c r="QBR103" s="7"/>
      <c r="QBS103" s="7"/>
      <c r="QBT103" s="4"/>
      <c r="QBY103" s="7"/>
      <c r="QBZ103" s="7"/>
      <c r="QCA103" s="7"/>
      <c r="QCB103" s="4"/>
      <c r="QCG103" s="7"/>
      <c r="QCH103" s="7"/>
      <c r="QCI103" s="7"/>
      <c r="QCJ103" s="4"/>
      <c r="QCO103" s="7"/>
      <c r="QCP103" s="7"/>
      <c r="QCQ103" s="7"/>
      <c r="QCR103" s="4"/>
      <c r="QCW103" s="7"/>
      <c r="QCX103" s="7"/>
      <c r="QCY103" s="7"/>
      <c r="QCZ103" s="4"/>
      <c r="QDE103" s="7"/>
      <c r="QDF103" s="7"/>
      <c r="QDG103" s="7"/>
      <c r="QDH103" s="4"/>
      <c r="QDM103" s="7"/>
      <c r="QDN103" s="7"/>
      <c r="QDO103" s="7"/>
      <c r="QDP103" s="4"/>
      <c r="QDU103" s="7"/>
      <c r="QDV103" s="7"/>
      <c r="QDW103" s="7"/>
      <c r="QDX103" s="4"/>
      <c r="QEC103" s="7"/>
      <c r="QED103" s="7"/>
      <c r="QEE103" s="7"/>
      <c r="QEF103" s="4"/>
      <c r="QEK103" s="7"/>
      <c r="QEL103" s="7"/>
      <c r="QEM103" s="7"/>
      <c r="QEN103" s="4"/>
      <c r="QES103" s="7"/>
      <c r="QET103" s="7"/>
      <c r="QEU103" s="7"/>
      <c r="QEV103" s="4"/>
      <c r="QFA103" s="7"/>
      <c r="QFB103" s="7"/>
      <c r="QFC103" s="7"/>
      <c r="QFD103" s="4"/>
      <c r="QFI103" s="7"/>
      <c r="QFJ103" s="7"/>
      <c r="QFK103" s="7"/>
      <c r="QFL103" s="4"/>
      <c r="QFQ103" s="7"/>
      <c r="QFR103" s="7"/>
      <c r="QFS103" s="7"/>
      <c r="QFT103" s="4"/>
      <c r="QFY103" s="7"/>
      <c r="QFZ103" s="7"/>
      <c r="QGA103" s="7"/>
      <c r="QGB103" s="4"/>
      <c r="QGG103" s="7"/>
      <c r="QGH103" s="7"/>
      <c r="QGI103" s="7"/>
      <c r="QGJ103" s="4"/>
      <c r="QGO103" s="7"/>
      <c r="QGP103" s="7"/>
      <c r="QGQ103" s="7"/>
      <c r="QGR103" s="4"/>
      <c r="QGW103" s="7"/>
      <c r="QGX103" s="7"/>
      <c r="QGY103" s="7"/>
      <c r="QGZ103" s="4"/>
      <c r="QHE103" s="7"/>
      <c r="QHF103" s="7"/>
      <c r="QHG103" s="7"/>
      <c r="QHH103" s="4"/>
      <c r="QHM103" s="7"/>
      <c r="QHN103" s="7"/>
      <c r="QHO103" s="7"/>
      <c r="QHP103" s="4"/>
      <c r="QHU103" s="7"/>
      <c r="QHV103" s="7"/>
      <c r="QHW103" s="7"/>
      <c r="QHX103" s="4"/>
      <c r="QIC103" s="7"/>
      <c r="QID103" s="7"/>
      <c r="QIE103" s="7"/>
      <c r="QIF103" s="4"/>
      <c r="QIK103" s="7"/>
      <c r="QIL103" s="7"/>
      <c r="QIM103" s="7"/>
      <c r="QIN103" s="4"/>
      <c r="QIS103" s="7"/>
      <c r="QIT103" s="7"/>
      <c r="QIU103" s="7"/>
      <c r="QIV103" s="4"/>
      <c r="QJA103" s="7"/>
      <c r="QJB103" s="7"/>
      <c r="QJC103" s="7"/>
      <c r="QJD103" s="4"/>
      <c r="QJI103" s="7"/>
      <c r="QJJ103" s="7"/>
      <c r="QJK103" s="7"/>
      <c r="QJL103" s="4"/>
      <c r="QJQ103" s="7"/>
      <c r="QJR103" s="7"/>
      <c r="QJS103" s="7"/>
      <c r="QJT103" s="4"/>
      <c r="QJY103" s="7"/>
      <c r="QJZ103" s="7"/>
      <c r="QKA103" s="7"/>
      <c r="QKB103" s="4"/>
      <c r="QKG103" s="7"/>
      <c r="QKH103" s="7"/>
      <c r="QKI103" s="7"/>
      <c r="QKJ103" s="4"/>
      <c r="QKO103" s="7"/>
      <c r="QKP103" s="7"/>
      <c r="QKQ103" s="7"/>
      <c r="QKR103" s="4"/>
      <c r="QKW103" s="7"/>
      <c r="QKX103" s="7"/>
      <c r="QKY103" s="7"/>
      <c r="QKZ103" s="4"/>
      <c r="QLE103" s="7"/>
      <c r="QLF103" s="7"/>
      <c r="QLG103" s="7"/>
      <c r="QLH103" s="4"/>
      <c r="QLM103" s="7"/>
      <c r="QLN103" s="7"/>
      <c r="QLO103" s="7"/>
      <c r="QLP103" s="4"/>
      <c r="QLU103" s="7"/>
      <c r="QLV103" s="7"/>
      <c r="QLW103" s="7"/>
      <c r="QLX103" s="4"/>
      <c r="QMC103" s="7"/>
      <c r="QMD103" s="7"/>
      <c r="QME103" s="7"/>
      <c r="QMF103" s="4"/>
      <c r="QMK103" s="7"/>
      <c r="QML103" s="7"/>
      <c r="QMM103" s="7"/>
      <c r="QMN103" s="4"/>
      <c r="QMS103" s="7"/>
      <c r="QMT103" s="7"/>
      <c r="QMU103" s="7"/>
      <c r="QMV103" s="4"/>
      <c r="QNA103" s="7"/>
      <c r="QNB103" s="7"/>
      <c r="QNC103" s="7"/>
      <c r="QND103" s="4"/>
      <c r="QNI103" s="7"/>
      <c r="QNJ103" s="7"/>
      <c r="QNK103" s="7"/>
      <c r="QNL103" s="4"/>
      <c r="QNQ103" s="7"/>
      <c r="QNR103" s="7"/>
      <c r="QNS103" s="7"/>
      <c r="QNT103" s="4"/>
      <c r="QNY103" s="7"/>
      <c r="QNZ103" s="7"/>
      <c r="QOA103" s="7"/>
      <c r="QOB103" s="4"/>
      <c r="QOG103" s="7"/>
      <c r="QOH103" s="7"/>
      <c r="QOI103" s="7"/>
      <c r="QOJ103" s="4"/>
      <c r="QOO103" s="7"/>
      <c r="QOP103" s="7"/>
      <c r="QOQ103" s="7"/>
      <c r="QOR103" s="4"/>
      <c r="QOW103" s="7"/>
      <c r="QOX103" s="7"/>
      <c r="QOY103" s="7"/>
      <c r="QOZ103" s="4"/>
      <c r="QPE103" s="7"/>
      <c r="QPF103" s="7"/>
      <c r="QPG103" s="7"/>
      <c r="QPH103" s="4"/>
      <c r="QPM103" s="7"/>
      <c r="QPN103" s="7"/>
      <c r="QPO103" s="7"/>
      <c r="QPP103" s="4"/>
      <c r="QPU103" s="7"/>
      <c r="QPV103" s="7"/>
      <c r="QPW103" s="7"/>
      <c r="QPX103" s="4"/>
      <c r="QQC103" s="7"/>
      <c r="QQD103" s="7"/>
      <c r="QQE103" s="7"/>
      <c r="QQF103" s="4"/>
      <c r="QQK103" s="7"/>
      <c r="QQL103" s="7"/>
      <c r="QQM103" s="7"/>
      <c r="QQN103" s="4"/>
      <c r="QQS103" s="7"/>
      <c r="QQT103" s="7"/>
      <c r="QQU103" s="7"/>
      <c r="QQV103" s="4"/>
      <c r="QRA103" s="7"/>
      <c r="QRB103" s="7"/>
      <c r="QRC103" s="7"/>
      <c r="QRD103" s="4"/>
      <c r="QRI103" s="7"/>
      <c r="QRJ103" s="7"/>
      <c r="QRK103" s="7"/>
      <c r="QRL103" s="4"/>
      <c r="QRQ103" s="7"/>
      <c r="QRR103" s="7"/>
      <c r="QRS103" s="7"/>
      <c r="QRT103" s="4"/>
      <c r="QRY103" s="7"/>
      <c r="QRZ103" s="7"/>
      <c r="QSA103" s="7"/>
      <c r="QSB103" s="4"/>
      <c r="QSG103" s="7"/>
      <c r="QSH103" s="7"/>
      <c r="QSI103" s="7"/>
      <c r="QSJ103" s="4"/>
      <c r="QSO103" s="7"/>
      <c r="QSP103" s="7"/>
      <c r="QSQ103" s="7"/>
      <c r="QSR103" s="4"/>
      <c r="QSW103" s="7"/>
      <c r="QSX103" s="7"/>
      <c r="QSY103" s="7"/>
      <c r="QSZ103" s="4"/>
      <c r="QTE103" s="7"/>
      <c r="QTF103" s="7"/>
      <c r="QTG103" s="7"/>
      <c r="QTH103" s="4"/>
      <c r="QTM103" s="7"/>
      <c r="QTN103" s="7"/>
      <c r="QTO103" s="7"/>
      <c r="QTP103" s="4"/>
      <c r="QTU103" s="7"/>
      <c r="QTV103" s="7"/>
      <c r="QTW103" s="7"/>
      <c r="QTX103" s="4"/>
      <c r="QUC103" s="7"/>
      <c r="QUD103" s="7"/>
      <c r="QUE103" s="7"/>
      <c r="QUF103" s="4"/>
      <c r="QUK103" s="7"/>
      <c r="QUL103" s="7"/>
      <c r="QUM103" s="7"/>
      <c r="QUN103" s="4"/>
      <c r="QUS103" s="7"/>
      <c r="QUT103" s="7"/>
      <c r="QUU103" s="7"/>
      <c r="QUV103" s="4"/>
      <c r="QVA103" s="7"/>
      <c r="QVB103" s="7"/>
      <c r="QVC103" s="7"/>
      <c r="QVD103" s="4"/>
      <c r="QVI103" s="7"/>
      <c r="QVJ103" s="7"/>
      <c r="QVK103" s="7"/>
      <c r="QVL103" s="4"/>
      <c r="QVQ103" s="7"/>
      <c r="QVR103" s="7"/>
      <c r="QVS103" s="7"/>
      <c r="QVT103" s="4"/>
      <c r="QVY103" s="7"/>
      <c r="QVZ103" s="7"/>
      <c r="QWA103" s="7"/>
      <c r="QWB103" s="4"/>
      <c r="QWG103" s="7"/>
      <c r="QWH103" s="7"/>
      <c r="QWI103" s="7"/>
      <c r="QWJ103" s="4"/>
      <c r="QWO103" s="7"/>
      <c r="QWP103" s="7"/>
      <c r="QWQ103" s="7"/>
      <c r="QWR103" s="4"/>
      <c r="QWW103" s="7"/>
      <c r="QWX103" s="7"/>
      <c r="QWY103" s="7"/>
      <c r="QWZ103" s="4"/>
      <c r="QXE103" s="7"/>
      <c r="QXF103" s="7"/>
      <c r="QXG103" s="7"/>
      <c r="QXH103" s="4"/>
      <c r="QXM103" s="7"/>
      <c r="QXN103" s="7"/>
      <c r="QXO103" s="7"/>
      <c r="QXP103" s="4"/>
      <c r="QXU103" s="7"/>
      <c r="QXV103" s="7"/>
      <c r="QXW103" s="7"/>
      <c r="QXX103" s="4"/>
      <c r="QYC103" s="7"/>
      <c r="QYD103" s="7"/>
      <c r="QYE103" s="7"/>
      <c r="QYF103" s="4"/>
      <c r="QYK103" s="7"/>
      <c r="QYL103" s="7"/>
      <c r="QYM103" s="7"/>
      <c r="QYN103" s="4"/>
      <c r="QYS103" s="7"/>
      <c r="QYT103" s="7"/>
      <c r="QYU103" s="7"/>
      <c r="QYV103" s="4"/>
      <c r="QZA103" s="7"/>
      <c r="QZB103" s="7"/>
      <c r="QZC103" s="7"/>
      <c r="QZD103" s="4"/>
      <c r="QZI103" s="7"/>
      <c r="QZJ103" s="7"/>
      <c r="QZK103" s="7"/>
      <c r="QZL103" s="4"/>
      <c r="QZQ103" s="7"/>
      <c r="QZR103" s="7"/>
      <c r="QZS103" s="7"/>
      <c r="QZT103" s="4"/>
      <c r="QZY103" s="7"/>
      <c r="QZZ103" s="7"/>
      <c r="RAA103" s="7"/>
      <c r="RAB103" s="4"/>
      <c r="RAG103" s="7"/>
      <c r="RAH103" s="7"/>
      <c r="RAI103" s="7"/>
      <c r="RAJ103" s="4"/>
      <c r="RAO103" s="7"/>
      <c r="RAP103" s="7"/>
      <c r="RAQ103" s="7"/>
      <c r="RAR103" s="4"/>
      <c r="RAW103" s="7"/>
      <c r="RAX103" s="7"/>
      <c r="RAY103" s="7"/>
      <c r="RAZ103" s="4"/>
      <c r="RBE103" s="7"/>
      <c r="RBF103" s="7"/>
      <c r="RBG103" s="7"/>
      <c r="RBH103" s="4"/>
      <c r="RBM103" s="7"/>
      <c r="RBN103" s="7"/>
      <c r="RBO103" s="7"/>
      <c r="RBP103" s="4"/>
      <c r="RBU103" s="7"/>
      <c r="RBV103" s="7"/>
      <c r="RBW103" s="7"/>
      <c r="RBX103" s="4"/>
      <c r="RCC103" s="7"/>
      <c r="RCD103" s="7"/>
      <c r="RCE103" s="7"/>
      <c r="RCF103" s="4"/>
      <c r="RCK103" s="7"/>
      <c r="RCL103" s="7"/>
      <c r="RCM103" s="7"/>
      <c r="RCN103" s="4"/>
      <c r="RCS103" s="7"/>
      <c r="RCT103" s="7"/>
      <c r="RCU103" s="7"/>
      <c r="RCV103" s="4"/>
      <c r="RDA103" s="7"/>
      <c r="RDB103" s="7"/>
      <c r="RDC103" s="7"/>
      <c r="RDD103" s="4"/>
      <c r="RDI103" s="7"/>
      <c r="RDJ103" s="7"/>
      <c r="RDK103" s="7"/>
      <c r="RDL103" s="4"/>
      <c r="RDQ103" s="7"/>
      <c r="RDR103" s="7"/>
      <c r="RDS103" s="7"/>
      <c r="RDT103" s="4"/>
      <c r="RDY103" s="7"/>
      <c r="RDZ103" s="7"/>
      <c r="REA103" s="7"/>
      <c r="REB103" s="4"/>
      <c r="REG103" s="7"/>
      <c r="REH103" s="7"/>
      <c r="REI103" s="7"/>
      <c r="REJ103" s="4"/>
      <c r="REO103" s="7"/>
      <c r="REP103" s="7"/>
      <c r="REQ103" s="7"/>
      <c r="RER103" s="4"/>
      <c r="REW103" s="7"/>
      <c r="REX103" s="7"/>
      <c r="REY103" s="7"/>
      <c r="REZ103" s="4"/>
      <c r="RFE103" s="7"/>
      <c r="RFF103" s="7"/>
      <c r="RFG103" s="7"/>
      <c r="RFH103" s="4"/>
      <c r="RFM103" s="7"/>
      <c r="RFN103" s="7"/>
      <c r="RFO103" s="7"/>
      <c r="RFP103" s="4"/>
      <c r="RFU103" s="7"/>
      <c r="RFV103" s="7"/>
      <c r="RFW103" s="7"/>
      <c r="RFX103" s="4"/>
      <c r="RGC103" s="7"/>
      <c r="RGD103" s="7"/>
      <c r="RGE103" s="7"/>
      <c r="RGF103" s="4"/>
      <c r="RGK103" s="7"/>
      <c r="RGL103" s="7"/>
      <c r="RGM103" s="7"/>
      <c r="RGN103" s="4"/>
      <c r="RGS103" s="7"/>
      <c r="RGT103" s="7"/>
      <c r="RGU103" s="7"/>
      <c r="RGV103" s="4"/>
      <c r="RHA103" s="7"/>
      <c r="RHB103" s="7"/>
      <c r="RHC103" s="7"/>
      <c r="RHD103" s="4"/>
      <c r="RHI103" s="7"/>
      <c r="RHJ103" s="7"/>
      <c r="RHK103" s="7"/>
      <c r="RHL103" s="4"/>
      <c r="RHQ103" s="7"/>
      <c r="RHR103" s="7"/>
      <c r="RHS103" s="7"/>
      <c r="RHT103" s="4"/>
      <c r="RHY103" s="7"/>
      <c r="RHZ103" s="7"/>
      <c r="RIA103" s="7"/>
      <c r="RIB103" s="4"/>
      <c r="RIG103" s="7"/>
      <c r="RIH103" s="7"/>
      <c r="RII103" s="7"/>
      <c r="RIJ103" s="4"/>
      <c r="RIO103" s="7"/>
      <c r="RIP103" s="7"/>
      <c r="RIQ103" s="7"/>
      <c r="RIR103" s="4"/>
      <c r="RIW103" s="7"/>
      <c r="RIX103" s="7"/>
      <c r="RIY103" s="7"/>
      <c r="RIZ103" s="4"/>
      <c r="RJE103" s="7"/>
      <c r="RJF103" s="7"/>
      <c r="RJG103" s="7"/>
      <c r="RJH103" s="4"/>
      <c r="RJM103" s="7"/>
      <c r="RJN103" s="7"/>
      <c r="RJO103" s="7"/>
      <c r="RJP103" s="4"/>
      <c r="RJU103" s="7"/>
      <c r="RJV103" s="7"/>
      <c r="RJW103" s="7"/>
      <c r="RJX103" s="4"/>
      <c r="RKC103" s="7"/>
      <c r="RKD103" s="7"/>
      <c r="RKE103" s="7"/>
      <c r="RKF103" s="4"/>
      <c r="RKK103" s="7"/>
      <c r="RKL103" s="7"/>
      <c r="RKM103" s="7"/>
      <c r="RKN103" s="4"/>
      <c r="RKS103" s="7"/>
      <c r="RKT103" s="7"/>
      <c r="RKU103" s="7"/>
      <c r="RKV103" s="4"/>
      <c r="RLA103" s="7"/>
      <c r="RLB103" s="7"/>
      <c r="RLC103" s="7"/>
      <c r="RLD103" s="4"/>
      <c r="RLI103" s="7"/>
      <c r="RLJ103" s="7"/>
      <c r="RLK103" s="7"/>
      <c r="RLL103" s="4"/>
      <c r="RLQ103" s="7"/>
      <c r="RLR103" s="7"/>
      <c r="RLS103" s="7"/>
      <c r="RLT103" s="4"/>
      <c r="RLY103" s="7"/>
      <c r="RLZ103" s="7"/>
      <c r="RMA103" s="7"/>
      <c r="RMB103" s="4"/>
      <c r="RMG103" s="7"/>
      <c r="RMH103" s="7"/>
      <c r="RMI103" s="7"/>
      <c r="RMJ103" s="4"/>
      <c r="RMO103" s="7"/>
      <c r="RMP103" s="7"/>
      <c r="RMQ103" s="7"/>
      <c r="RMR103" s="4"/>
      <c r="RMW103" s="7"/>
      <c r="RMX103" s="7"/>
      <c r="RMY103" s="7"/>
      <c r="RMZ103" s="4"/>
      <c r="RNE103" s="7"/>
      <c r="RNF103" s="7"/>
      <c r="RNG103" s="7"/>
      <c r="RNH103" s="4"/>
      <c r="RNM103" s="7"/>
      <c r="RNN103" s="7"/>
      <c r="RNO103" s="7"/>
      <c r="RNP103" s="4"/>
      <c r="RNU103" s="7"/>
      <c r="RNV103" s="7"/>
      <c r="RNW103" s="7"/>
      <c r="RNX103" s="4"/>
      <c r="ROC103" s="7"/>
      <c r="ROD103" s="7"/>
      <c r="ROE103" s="7"/>
      <c r="ROF103" s="4"/>
      <c r="ROK103" s="7"/>
      <c r="ROL103" s="7"/>
      <c r="ROM103" s="7"/>
      <c r="RON103" s="4"/>
      <c r="ROS103" s="7"/>
      <c r="ROT103" s="7"/>
      <c r="ROU103" s="7"/>
      <c r="ROV103" s="4"/>
      <c r="RPA103" s="7"/>
      <c r="RPB103" s="7"/>
      <c r="RPC103" s="7"/>
      <c r="RPD103" s="4"/>
      <c r="RPI103" s="7"/>
      <c r="RPJ103" s="7"/>
      <c r="RPK103" s="7"/>
      <c r="RPL103" s="4"/>
      <c r="RPQ103" s="7"/>
      <c r="RPR103" s="7"/>
      <c r="RPS103" s="7"/>
      <c r="RPT103" s="4"/>
      <c r="RPY103" s="7"/>
      <c r="RPZ103" s="7"/>
      <c r="RQA103" s="7"/>
      <c r="RQB103" s="4"/>
      <c r="RQG103" s="7"/>
      <c r="RQH103" s="7"/>
      <c r="RQI103" s="7"/>
      <c r="RQJ103" s="4"/>
      <c r="RQO103" s="7"/>
      <c r="RQP103" s="7"/>
      <c r="RQQ103" s="7"/>
      <c r="RQR103" s="4"/>
      <c r="RQW103" s="7"/>
      <c r="RQX103" s="7"/>
      <c r="RQY103" s="7"/>
      <c r="RQZ103" s="4"/>
      <c r="RRE103" s="7"/>
      <c r="RRF103" s="7"/>
      <c r="RRG103" s="7"/>
      <c r="RRH103" s="4"/>
      <c r="RRM103" s="7"/>
      <c r="RRN103" s="7"/>
      <c r="RRO103" s="7"/>
      <c r="RRP103" s="4"/>
      <c r="RRU103" s="7"/>
      <c r="RRV103" s="7"/>
      <c r="RRW103" s="7"/>
      <c r="RRX103" s="4"/>
      <c r="RSC103" s="7"/>
      <c r="RSD103" s="7"/>
      <c r="RSE103" s="7"/>
      <c r="RSF103" s="4"/>
      <c r="RSK103" s="7"/>
      <c r="RSL103" s="7"/>
      <c r="RSM103" s="7"/>
      <c r="RSN103" s="4"/>
      <c r="RSS103" s="7"/>
      <c r="RST103" s="7"/>
      <c r="RSU103" s="7"/>
      <c r="RSV103" s="4"/>
      <c r="RTA103" s="7"/>
      <c r="RTB103" s="7"/>
      <c r="RTC103" s="7"/>
      <c r="RTD103" s="4"/>
      <c r="RTI103" s="7"/>
      <c r="RTJ103" s="7"/>
      <c r="RTK103" s="7"/>
      <c r="RTL103" s="4"/>
      <c r="RTQ103" s="7"/>
      <c r="RTR103" s="7"/>
      <c r="RTS103" s="7"/>
      <c r="RTT103" s="4"/>
      <c r="RTY103" s="7"/>
      <c r="RTZ103" s="7"/>
      <c r="RUA103" s="7"/>
      <c r="RUB103" s="4"/>
      <c r="RUG103" s="7"/>
      <c r="RUH103" s="7"/>
      <c r="RUI103" s="7"/>
      <c r="RUJ103" s="4"/>
      <c r="RUO103" s="7"/>
      <c r="RUP103" s="7"/>
      <c r="RUQ103" s="7"/>
      <c r="RUR103" s="4"/>
      <c r="RUW103" s="7"/>
      <c r="RUX103" s="7"/>
      <c r="RUY103" s="7"/>
      <c r="RUZ103" s="4"/>
      <c r="RVE103" s="7"/>
      <c r="RVF103" s="7"/>
      <c r="RVG103" s="7"/>
      <c r="RVH103" s="4"/>
      <c r="RVM103" s="7"/>
      <c r="RVN103" s="7"/>
      <c r="RVO103" s="7"/>
      <c r="RVP103" s="4"/>
      <c r="RVU103" s="7"/>
      <c r="RVV103" s="7"/>
      <c r="RVW103" s="7"/>
      <c r="RVX103" s="4"/>
      <c r="RWC103" s="7"/>
      <c r="RWD103" s="7"/>
      <c r="RWE103" s="7"/>
      <c r="RWF103" s="4"/>
      <c r="RWK103" s="7"/>
      <c r="RWL103" s="7"/>
      <c r="RWM103" s="7"/>
      <c r="RWN103" s="4"/>
      <c r="RWS103" s="7"/>
      <c r="RWT103" s="7"/>
      <c r="RWU103" s="7"/>
      <c r="RWV103" s="4"/>
      <c r="RXA103" s="7"/>
      <c r="RXB103" s="7"/>
      <c r="RXC103" s="7"/>
      <c r="RXD103" s="4"/>
      <c r="RXI103" s="7"/>
      <c r="RXJ103" s="7"/>
      <c r="RXK103" s="7"/>
      <c r="RXL103" s="4"/>
      <c r="RXQ103" s="7"/>
      <c r="RXR103" s="7"/>
      <c r="RXS103" s="7"/>
      <c r="RXT103" s="4"/>
      <c r="RXY103" s="7"/>
      <c r="RXZ103" s="7"/>
      <c r="RYA103" s="7"/>
      <c r="RYB103" s="4"/>
      <c r="RYG103" s="7"/>
      <c r="RYH103" s="7"/>
      <c r="RYI103" s="7"/>
      <c r="RYJ103" s="4"/>
      <c r="RYO103" s="7"/>
      <c r="RYP103" s="7"/>
      <c r="RYQ103" s="7"/>
      <c r="RYR103" s="4"/>
      <c r="RYW103" s="7"/>
      <c r="RYX103" s="7"/>
      <c r="RYY103" s="7"/>
      <c r="RYZ103" s="4"/>
      <c r="RZE103" s="7"/>
      <c r="RZF103" s="7"/>
      <c r="RZG103" s="7"/>
      <c r="RZH103" s="4"/>
      <c r="RZM103" s="7"/>
      <c r="RZN103" s="7"/>
      <c r="RZO103" s="7"/>
      <c r="RZP103" s="4"/>
      <c r="RZU103" s="7"/>
      <c r="RZV103" s="7"/>
      <c r="RZW103" s="7"/>
      <c r="RZX103" s="4"/>
      <c r="SAC103" s="7"/>
      <c r="SAD103" s="7"/>
      <c r="SAE103" s="7"/>
      <c r="SAF103" s="4"/>
      <c r="SAK103" s="7"/>
      <c r="SAL103" s="7"/>
      <c r="SAM103" s="7"/>
      <c r="SAN103" s="4"/>
      <c r="SAS103" s="7"/>
      <c r="SAT103" s="7"/>
      <c r="SAU103" s="7"/>
      <c r="SAV103" s="4"/>
      <c r="SBA103" s="7"/>
      <c r="SBB103" s="7"/>
      <c r="SBC103" s="7"/>
      <c r="SBD103" s="4"/>
      <c r="SBI103" s="7"/>
      <c r="SBJ103" s="7"/>
      <c r="SBK103" s="7"/>
      <c r="SBL103" s="4"/>
      <c r="SBQ103" s="7"/>
      <c r="SBR103" s="7"/>
      <c r="SBS103" s="7"/>
      <c r="SBT103" s="4"/>
      <c r="SBY103" s="7"/>
      <c r="SBZ103" s="7"/>
      <c r="SCA103" s="7"/>
      <c r="SCB103" s="4"/>
      <c r="SCG103" s="7"/>
      <c r="SCH103" s="7"/>
      <c r="SCI103" s="7"/>
      <c r="SCJ103" s="4"/>
      <c r="SCO103" s="7"/>
      <c r="SCP103" s="7"/>
      <c r="SCQ103" s="7"/>
      <c r="SCR103" s="4"/>
      <c r="SCW103" s="7"/>
      <c r="SCX103" s="7"/>
      <c r="SCY103" s="7"/>
      <c r="SCZ103" s="4"/>
      <c r="SDE103" s="7"/>
      <c r="SDF103" s="7"/>
      <c r="SDG103" s="7"/>
      <c r="SDH103" s="4"/>
      <c r="SDM103" s="7"/>
      <c r="SDN103" s="7"/>
      <c r="SDO103" s="7"/>
      <c r="SDP103" s="4"/>
      <c r="SDU103" s="7"/>
      <c r="SDV103" s="7"/>
      <c r="SDW103" s="7"/>
      <c r="SDX103" s="4"/>
      <c r="SEC103" s="7"/>
      <c r="SED103" s="7"/>
      <c r="SEE103" s="7"/>
      <c r="SEF103" s="4"/>
      <c r="SEK103" s="7"/>
      <c r="SEL103" s="7"/>
      <c r="SEM103" s="7"/>
      <c r="SEN103" s="4"/>
      <c r="SES103" s="7"/>
      <c r="SET103" s="7"/>
      <c r="SEU103" s="7"/>
      <c r="SEV103" s="4"/>
      <c r="SFA103" s="7"/>
      <c r="SFB103" s="7"/>
      <c r="SFC103" s="7"/>
      <c r="SFD103" s="4"/>
      <c r="SFI103" s="7"/>
      <c r="SFJ103" s="7"/>
      <c r="SFK103" s="7"/>
      <c r="SFL103" s="4"/>
      <c r="SFQ103" s="7"/>
      <c r="SFR103" s="7"/>
      <c r="SFS103" s="7"/>
      <c r="SFT103" s="4"/>
      <c r="SFY103" s="7"/>
      <c r="SFZ103" s="7"/>
      <c r="SGA103" s="7"/>
      <c r="SGB103" s="4"/>
      <c r="SGG103" s="7"/>
      <c r="SGH103" s="7"/>
      <c r="SGI103" s="7"/>
      <c r="SGJ103" s="4"/>
      <c r="SGO103" s="7"/>
      <c r="SGP103" s="7"/>
      <c r="SGQ103" s="7"/>
      <c r="SGR103" s="4"/>
      <c r="SGW103" s="7"/>
      <c r="SGX103" s="7"/>
      <c r="SGY103" s="7"/>
      <c r="SGZ103" s="4"/>
      <c r="SHE103" s="7"/>
      <c r="SHF103" s="7"/>
      <c r="SHG103" s="7"/>
      <c r="SHH103" s="4"/>
      <c r="SHM103" s="7"/>
      <c r="SHN103" s="7"/>
      <c r="SHO103" s="7"/>
      <c r="SHP103" s="4"/>
      <c r="SHU103" s="7"/>
      <c r="SHV103" s="7"/>
      <c r="SHW103" s="7"/>
      <c r="SHX103" s="4"/>
      <c r="SIC103" s="7"/>
      <c r="SID103" s="7"/>
      <c r="SIE103" s="7"/>
      <c r="SIF103" s="4"/>
      <c r="SIK103" s="7"/>
      <c r="SIL103" s="7"/>
      <c r="SIM103" s="7"/>
      <c r="SIN103" s="4"/>
      <c r="SIS103" s="7"/>
      <c r="SIT103" s="7"/>
      <c r="SIU103" s="7"/>
      <c r="SIV103" s="4"/>
      <c r="SJA103" s="7"/>
      <c r="SJB103" s="7"/>
      <c r="SJC103" s="7"/>
      <c r="SJD103" s="4"/>
      <c r="SJI103" s="7"/>
      <c r="SJJ103" s="7"/>
      <c r="SJK103" s="7"/>
      <c r="SJL103" s="4"/>
      <c r="SJQ103" s="7"/>
      <c r="SJR103" s="7"/>
      <c r="SJS103" s="7"/>
      <c r="SJT103" s="4"/>
      <c r="SJY103" s="7"/>
      <c r="SJZ103" s="7"/>
      <c r="SKA103" s="7"/>
      <c r="SKB103" s="4"/>
      <c r="SKG103" s="7"/>
      <c r="SKH103" s="7"/>
      <c r="SKI103" s="7"/>
      <c r="SKJ103" s="4"/>
      <c r="SKO103" s="7"/>
      <c r="SKP103" s="7"/>
      <c r="SKQ103" s="7"/>
      <c r="SKR103" s="4"/>
      <c r="SKW103" s="7"/>
      <c r="SKX103" s="7"/>
      <c r="SKY103" s="7"/>
      <c r="SKZ103" s="4"/>
      <c r="SLE103" s="7"/>
      <c r="SLF103" s="7"/>
      <c r="SLG103" s="7"/>
      <c r="SLH103" s="4"/>
      <c r="SLM103" s="7"/>
      <c r="SLN103" s="7"/>
      <c r="SLO103" s="7"/>
      <c r="SLP103" s="4"/>
      <c r="SLU103" s="7"/>
      <c r="SLV103" s="7"/>
      <c r="SLW103" s="7"/>
      <c r="SLX103" s="4"/>
      <c r="SMC103" s="7"/>
      <c r="SMD103" s="7"/>
      <c r="SME103" s="7"/>
      <c r="SMF103" s="4"/>
      <c r="SMK103" s="7"/>
      <c r="SML103" s="7"/>
      <c r="SMM103" s="7"/>
      <c r="SMN103" s="4"/>
      <c r="SMS103" s="7"/>
      <c r="SMT103" s="7"/>
      <c r="SMU103" s="7"/>
      <c r="SMV103" s="4"/>
      <c r="SNA103" s="7"/>
      <c r="SNB103" s="7"/>
      <c r="SNC103" s="7"/>
      <c r="SND103" s="4"/>
      <c r="SNI103" s="7"/>
      <c r="SNJ103" s="7"/>
      <c r="SNK103" s="7"/>
      <c r="SNL103" s="4"/>
      <c r="SNQ103" s="7"/>
      <c r="SNR103" s="7"/>
      <c r="SNS103" s="7"/>
      <c r="SNT103" s="4"/>
      <c r="SNY103" s="7"/>
      <c r="SNZ103" s="7"/>
      <c r="SOA103" s="7"/>
      <c r="SOB103" s="4"/>
      <c r="SOG103" s="7"/>
      <c r="SOH103" s="7"/>
      <c r="SOI103" s="7"/>
      <c r="SOJ103" s="4"/>
      <c r="SOO103" s="7"/>
      <c r="SOP103" s="7"/>
      <c r="SOQ103" s="7"/>
      <c r="SOR103" s="4"/>
      <c r="SOW103" s="7"/>
      <c r="SOX103" s="7"/>
      <c r="SOY103" s="7"/>
      <c r="SOZ103" s="4"/>
      <c r="SPE103" s="7"/>
      <c r="SPF103" s="7"/>
      <c r="SPG103" s="7"/>
      <c r="SPH103" s="4"/>
      <c r="SPM103" s="7"/>
      <c r="SPN103" s="7"/>
      <c r="SPO103" s="7"/>
      <c r="SPP103" s="4"/>
      <c r="SPU103" s="7"/>
      <c r="SPV103" s="7"/>
      <c r="SPW103" s="7"/>
      <c r="SPX103" s="4"/>
      <c r="SQC103" s="7"/>
      <c r="SQD103" s="7"/>
      <c r="SQE103" s="7"/>
      <c r="SQF103" s="4"/>
      <c r="SQK103" s="7"/>
      <c r="SQL103" s="7"/>
      <c r="SQM103" s="7"/>
      <c r="SQN103" s="4"/>
      <c r="SQS103" s="7"/>
      <c r="SQT103" s="7"/>
      <c r="SQU103" s="7"/>
      <c r="SQV103" s="4"/>
      <c r="SRA103" s="7"/>
      <c r="SRB103" s="7"/>
      <c r="SRC103" s="7"/>
      <c r="SRD103" s="4"/>
      <c r="SRI103" s="7"/>
      <c r="SRJ103" s="7"/>
      <c r="SRK103" s="7"/>
      <c r="SRL103" s="4"/>
      <c r="SRQ103" s="7"/>
      <c r="SRR103" s="7"/>
      <c r="SRS103" s="7"/>
      <c r="SRT103" s="4"/>
      <c r="SRY103" s="7"/>
      <c r="SRZ103" s="7"/>
      <c r="SSA103" s="7"/>
      <c r="SSB103" s="4"/>
      <c r="SSG103" s="7"/>
      <c r="SSH103" s="7"/>
      <c r="SSI103" s="7"/>
      <c r="SSJ103" s="4"/>
      <c r="SSO103" s="7"/>
      <c r="SSP103" s="7"/>
      <c r="SSQ103" s="7"/>
      <c r="SSR103" s="4"/>
      <c r="SSW103" s="7"/>
      <c r="SSX103" s="7"/>
      <c r="SSY103" s="7"/>
      <c r="SSZ103" s="4"/>
      <c r="STE103" s="7"/>
      <c r="STF103" s="7"/>
      <c r="STG103" s="7"/>
      <c r="STH103" s="4"/>
      <c r="STM103" s="7"/>
      <c r="STN103" s="7"/>
      <c r="STO103" s="7"/>
      <c r="STP103" s="4"/>
      <c r="STU103" s="7"/>
      <c r="STV103" s="7"/>
      <c r="STW103" s="7"/>
      <c r="STX103" s="4"/>
      <c r="SUC103" s="7"/>
      <c r="SUD103" s="7"/>
      <c r="SUE103" s="7"/>
      <c r="SUF103" s="4"/>
      <c r="SUK103" s="7"/>
      <c r="SUL103" s="7"/>
      <c r="SUM103" s="7"/>
      <c r="SUN103" s="4"/>
      <c r="SUS103" s="7"/>
      <c r="SUT103" s="7"/>
      <c r="SUU103" s="7"/>
      <c r="SUV103" s="4"/>
      <c r="SVA103" s="7"/>
      <c r="SVB103" s="7"/>
      <c r="SVC103" s="7"/>
      <c r="SVD103" s="4"/>
      <c r="SVI103" s="7"/>
      <c r="SVJ103" s="7"/>
      <c r="SVK103" s="7"/>
      <c r="SVL103" s="4"/>
      <c r="SVQ103" s="7"/>
      <c r="SVR103" s="7"/>
      <c r="SVS103" s="7"/>
      <c r="SVT103" s="4"/>
      <c r="SVY103" s="7"/>
      <c r="SVZ103" s="7"/>
      <c r="SWA103" s="7"/>
      <c r="SWB103" s="4"/>
      <c r="SWG103" s="7"/>
      <c r="SWH103" s="7"/>
      <c r="SWI103" s="7"/>
      <c r="SWJ103" s="4"/>
      <c r="SWO103" s="7"/>
      <c r="SWP103" s="7"/>
      <c r="SWQ103" s="7"/>
      <c r="SWR103" s="4"/>
      <c r="SWW103" s="7"/>
      <c r="SWX103" s="7"/>
      <c r="SWY103" s="7"/>
      <c r="SWZ103" s="4"/>
      <c r="SXE103" s="7"/>
      <c r="SXF103" s="7"/>
      <c r="SXG103" s="7"/>
      <c r="SXH103" s="4"/>
      <c r="SXM103" s="7"/>
      <c r="SXN103" s="7"/>
      <c r="SXO103" s="7"/>
      <c r="SXP103" s="4"/>
      <c r="SXU103" s="7"/>
      <c r="SXV103" s="7"/>
      <c r="SXW103" s="7"/>
      <c r="SXX103" s="4"/>
      <c r="SYC103" s="7"/>
      <c r="SYD103" s="7"/>
      <c r="SYE103" s="7"/>
      <c r="SYF103" s="4"/>
      <c r="SYK103" s="7"/>
      <c r="SYL103" s="7"/>
      <c r="SYM103" s="7"/>
      <c r="SYN103" s="4"/>
      <c r="SYS103" s="7"/>
      <c r="SYT103" s="7"/>
      <c r="SYU103" s="7"/>
      <c r="SYV103" s="4"/>
      <c r="SZA103" s="7"/>
      <c r="SZB103" s="7"/>
      <c r="SZC103" s="7"/>
      <c r="SZD103" s="4"/>
      <c r="SZI103" s="7"/>
      <c r="SZJ103" s="7"/>
      <c r="SZK103" s="7"/>
      <c r="SZL103" s="4"/>
      <c r="SZQ103" s="7"/>
      <c r="SZR103" s="7"/>
      <c r="SZS103" s="7"/>
      <c r="SZT103" s="4"/>
      <c r="SZY103" s="7"/>
      <c r="SZZ103" s="7"/>
      <c r="TAA103" s="7"/>
      <c r="TAB103" s="4"/>
      <c r="TAG103" s="7"/>
      <c r="TAH103" s="7"/>
      <c r="TAI103" s="7"/>
      <c r="TAJ103" s="4"/>
      <c r="TAO103" s="7"/>
      <c r="TAP103" s="7"/>
      <c r="TAQ103" s="7"/>
      <c r="TAR103" s="4"/>
      <c r="TAW103" s="7"/>
      <c r="TAX103" s="7"/>
      <c r="TAY103" s="7"/>
      <c r="TAZ103" s="4"/>
      <c r="TBE103" s="7"/>
      <c r="TBF103" s="7"/>
      <c r="TBG103" s="7"/>
      <c r="TBH103" s="4"/>
      <c r="TBM103" s="7"/>
      <c r="TBN103" s="7"/>
      <c r="TBO103" s="7"/>
      <c r="TBP103" s="4"/>
      <c r="TBU103" s="7"/>
      <c r="TBV103" s="7"/>
      <c r="TBW103" s="7"/>
      <c r="TBX103" s="4"/>
      <c r="TCC103" s="7"/>
      <c r="TCD103" s="7"/>
      <c r="TCE103" s="7"/>
      <c r="TCF103" s="4"/>
      <c r="TCK103" s="7"/>
      <c r="TCL103" s="7"/>
      <c r="TCM103" s="7"/>
      <c r="TCN103" s="4"/>
      <c r="TCS103" s="7"/>
      <c r="TCT103" s="7"/>
      <c r="TCU103" s="7"/>
      <c r="TCV103" s="4"/>
      <c r="TDA103" s="7"/>
      <c r="TDB103" s="7"/>
      <c r="TDC103" s="7"/>
      <c r="TDD103" s="4"/>
      <c r="TDI103" s="7"/>
      <c r="TDJ103" s="7"/>
      <c r="TDK103" s="7"/>
      <c r="TDL103" s="4"/>
      <c r="TDQ103" s="7"/>
      <c r="TDR103" s="7"/>
      <c r="TDS103" s="7"/>
      <c r="TDT103" s="4"/>
      <c r="TDY103" s="7"/>
      <c r="TDZ103" s="7"/>
      <c r="TEA103" s="7"/>
      <c r="TEB103" s="4"/>
      <c r="TEG103" s="7"/>
      <c r="TEH103" s="7"/>
      <c r="TEI103" s="7"/>
      <c r="TEJ103" s="4"/>
      <c r="TEO103" s="7"/>
      <c r="TEP103" s="7"/>
      <c r="TEQ103" s="7"/>
      <c r="TER103" s="4"/>
      <c r="TEW103" s="7"/>
      <c r="TEX103" s="7"/>
      <c r="TEY103" s="7"/>
      <c r="TEZ103" s="4"/>
      <c r="TFE103" s="7"/>
      <c r="TFF103" s="7"/>
      <c r="TFG103" s="7"/>
      <c r="TFH103" s="4"/>
      <c r="TFM103" s="7"/>
      <c r="TFN103" s="7"/>
      <c r="TFO103" s="7"/>
      <c r="TFP103" s="4"/>
      <c r="TFU103" s="7"/>
      <c r="TFV103" s="7"/>
      <c r="TFW103" s="7"/>
      <c r="TFX103" s="4"/>
      <c r="TGC103" s="7"/>
      <c r="TGD103" s="7"/>
      <c r="TGE103" s="7"/>
      <c r="TGF103" s="4"/>
      <c r="TGK103" s="7"/>
      <c r="TGL103" s="7"/>
      <c r="TGM103" s="7"/>
      <c r="TGN103" s="4"/>
      <c r="TGS103" s="7"/>
      <c r="TGT103" s="7"/>
      <c r="TGU103" s="7"/>
      <c r="TGV103" s="4"/>
      <c r="THA103" s="7"/>
      <c r="THB103" s="7"/>
      <c r="THC103" s="7"/>
      <c r="THD103" s="4"/>
      <c r="THI103" s="7"/>
      <c r="THJ103" s="7"/>
      <c r="THK103" s="7"/>
      <c r="THL103" s="4"/>
      <c r="THQ103" s="7"/>
      <c r="THR103" s="7"/>
      <c r="THS103" s="7"/>
      <c r="THT103" s="4"/>
      <c r="THY103" s="7"/>
      <c r="THZ103" s="7"/>
      <c r="TIA103" s="7"/>
      <c r="TIB103" s="4"/>
      <c r="TIG103" s="7"/>
      <c r="TIH103" s="7"/>
      <c r="TII103" s="7"/>
      <c r="TIJ103" s="4"/>
      <c r="TIO103" s="7"/>
      <c r="TIP103" s="7"/>
      <c r="TIQ103" s="7"/>
      <c r="TIR103" s="4"/>
      <c r="TIW103" s="7"/>
      <c r="TIX103" s="7"/>
      <c r="TIY103" s="7"/>
      <c r="TIZ103" s="4"/>
      <c r="TJE103" s="7"/>
      <c r="TJF103" s="7"/>
      <c r="TJG103" s="7"/>
      <c r="TJH103" s="4"/>
      <c r="TJM103" s="7"/>
      <c r="TJN103" s="7"/>
      <c r="TJO103" s="7"/>
      <c r="TJP103" s="4"/>
      <c r="TJU103" s="7"/>
      <c r="TJV103" s="7"/>
      <c r="TJW103" s="7"/>
      <c r="TJX103" s="4"/>
      <c r="TKC103" s="7"/>
      <c r="TKD103" s="7"/>
      <c r="TKE103" s="7"/>
      <c r="TKF103" s="4"/>
      <c r="TKK103" s="7"/>
      <c r="TKL103" s="7"/>
      <c r="TKM103" s="7"/>
      <c r="TKN103" s="4"/>
      <c r="TKS103" s="7"/>
      <c r="TKT103" s="7"/>
      <c r="TKU103" s="7"/>
      <c r="TKV103" s="4"/>
      <c r="TLA103" s="7"/>
      <c r="TLB103" s="7"/>
      <c r="TLC103" s="7"/>
      <c r="TLD103" s="4"/>
      <c r="TLI103" s="7"/>
      <c r="TLJ103" s="7"/>
      <c r="TLK103" s="7"/>
      <c r="TLL103" s="4"/>
      <c r="TLQ103" s="7"/>
      <c r="TLR103" s="7"/>
      <c r="TLS103" s="7"/>
      <c r="TLT103" s="4"/>
      <c r="TLY103" s="7"/>
      <c r="TLZ103" s="7"/>
      <c r="TMA103" s="7"/>
      <c r="TMB103" s="4"/>
      <c r="TMG103" s="7"/>
      <c r="TMH103" s="7"/>
      <c r="TMI103" s="7"/>
      <c r="TMJ103" s="4"/>
      <c r="TMO103" s="7"/>
      <c r="TMP103" s="7"/>
      <c r="TMQ103" s="7"/>
      <c r="TMR103" s="4"/>
      <c r="TMW103" s="7"/>
      <c r="TMX103" s="7"/>
      <c r="TMY103" s="7"/>
      <c r="TMZ103" s="4"/>
      <c r="TNE103" s="7"/>
      <c r="TNF103" s="7"/>
      <c r="TNG103" s="7"/>
      <c r="TNH103" s="4"/>
      <c r="TNM103" s="7"/>
      <c r="TNN103" s="7"/>
      <c r="TNO103" s="7"/>
      <c r="TNP103" s="4"/>
      <c r="TNU103" s="7"/>
      <c r="TNV103" s="7"/>
      <c r="TNW103" s="7"/>
      <c r="TNX103" s="4"/>
      <c r="TOC103" s="7"/>
      <c r="TOD103" s="7"/>
      <c r="TOE103" s="7"/>
      <c r="TOF103" s="4"/>
      <c r="TOK103" s="7"/>
      <c r="TOL103" s="7"/>
      <c r="TOM103" s="7"/>
      <c r="TON103" s="4"/>
      <c r="TOS103" s="7"/>
      <c r="TOT103" s="7"/>
      <c r="TOU103" s="7"/>
      <c r="TOV103" s="4"/>
      <c r="TPA103" s="7"/>
      <c r="TPB103" s="7"/>
      <c r="TPC103" s="7"/>
      <c r="TPD103" s="4"/>
      <c r="TPI103" s="7"/>
      <c r="TPJ103" s="7"/>
      <c r="TPK103" s="7"/>
      <c r="TPL103" s="4"/>
      <c r="TPQ103" s="7"/>
      <c r="TPR103" s="7"/>
      <c r="TPS103" s="7"/>
      <c r="TPT103" s="4"/>
      <c r="TPY103" s="7"/>
      <c r="TPZ103" s="7"/>
      <c r="TQA103" s="7"/>
      <c r="TQB103" s="4"/>
      <c r="TQG103" s="7"/>
      <c r="TQH103" s="7"/>
      <c r="TQI103" s="7"/>
      <c r="TQJ103" s="4"/>
      <c r="TQO103" s="7"/>
      <c r="TQP103" s="7"/>
      <c r="TQQ103" s="7"/>
      <c r="TQR103" s="4"/>
      <c r="TQW103" s="7"/>
      <c r="TQX103" s="7"/>
      <c r="TQY103" s="7"/>
      <c r="TQZ103" s="4"/>
      <c r="TRE103" s="7"/>
      <c r="TRF103" s="7"/>
      <c r="TRG103" s="7"/>
      <c r="TRH103" s="4"/>
      <c r="TRM103" s="7"/>
      <c r="TRN103" s="7"/>
      <c r="TRO103" s="7"/>
      <c r="TRP103" s="4"/>
      <c r="TRU103" s="7"/>
      <c r="TRV103" s="7"/>
      <c r="TRW103" s="7"/>
      <c r="TRX103" s="4"/>
      <c r="TSC103" s="7"/>
      <c r="TSD103" s="7"/>
      <c r="TSE103" s="7"/>
      <c r="TSF103" s="4"/>
      <c r="TSK103" s="7"/>
      <c r="TSL103" s="7"/>
      <c r="TSM103" s="7"/>
      <c r="TSN103" s="4"/>
      <c r="TSS103" s="7"/>
      <c r="TST103" s="7"/>
      <c r="TSU103" s="7"/>
      <c r="TSV103" s="4"/>
      <c r="TTA103" s="7"/>
      <c r="TTB103" s="7"/>
      <c r="TTC103" s="7"/>
      <c r="TTD103" s="4"/>
      <c r="TTI103" s="7"/>
      <c r="TTJ103" s="7"/>
      <c r="TTK103" s="7"/>
      <c r="TTL103" s="4"/>
      <c r="TTQ103" s="7"/>
      <c r="TTR103" s="7"/>
      <c r="TTS103" s="7"/>
      <c r="TTT103" s="4"/>
      <c r="TTY103" s="7"/>
      <c r="TTZ103" s="7"/>
      <c r="TUA103" s="7"/>
      <c r="TUB103" s="4"/>
      <c r="TUG103" s="7"/>
      <c r="TUH103" s="7"/>
      <c r="TUI103" s="7"/>
      <c r="TUJ103" s="4"/>
      <c r="TUO103" s="7"/>
      <c r="TUP103" s="7"/>
      <c r="TUQ103" s="7"/>
      <c r="TUR103" s="4"/>
      <c r="TUW103" s="7"/>
      <c r="TUX103" s="7"/>
      <c r="TUY103" s="7"/>
      <c r="TUZ103" s="4"/>
      <c r="TVE103" s="7"/>
      <c r="TVF103" s="7"/>
      <c r="TVG103" s="7"/>
      <c r="TVH103" s="4"/>
      <c r="TVM103" s="7"/>
      <c r="TVN103" s="7"/>
      <c r="TVO103" s="7"/>
      <c r="TVP103" s="4"/>
      <c r="TVU103" s="7"/>
      <c r="TVV103" s="7"/>
      <c r="TVW103" s="7"/>
      <c r="TVX103" s="4"/>
      <c r="TWC103" s="7"/>
      <c r="TWD103" s="7"/>
      <c r="TWE103" s="7"/>
      <c r="TWF103" s="4"/>
      <c r="TWK103" s="7"/>
      <c r="TWL103" s="7"/>
      <c r="TWM103" s="7"/>
      <c r="TWN103" s="4"/>
      <c r="TWS103" s="7"/>
      <c r="TWT103" s="7"/>
      <c r="TWU103" s="7"/>
      <c r="TWV103" s="4"/>
      <c r="TXA103" s="7"/>
      <c r="TXB103" s="7"/>
      <c r="TXC103" s="7"/>
      <c r="TXD103" s="4"/>
      <c r="TXI103" s="7"/>
      <c r="TXJ103" s="7"/>
      <c r="TXK103" s="7"/>
      <c r="TXL103" s="4"/>
      <c r="TXQ103" s="7"/>
      <c r="TXR103" s="7"/>
      <c r="TXS103" s="7"/>
      <c r="TXT103" s="4"/>
      <c r="TXY103" s="7"/>
      <c r="TXZ103" s="7"/>
      <c r="TYA103" s="7"/>
      <c r="TYB103" s="4"/>
      <c r="TYG103" s="7"/>
      <c r="TYH103" s="7"/>
      <c r="TYI103" s="7"/>
      <c r="TYJ103" s="4"/>
      <c r="TYO103" s="7"/>
      <c r="TYP103" s="7"/>
      <c r="TYQ103" s="7"/>
      <c r="TYR103" s="4"/>
      <c r="TYW103" s="7"/>
      <c r="TYX103" s="7"/>
      <c r="TYY103" s="7"/>
      <c r="TYZ103" s="4"/>
      <c r="TZE103" s="7"/>
      <c r="TZF103" s="7"/>
      <c r="TZG103" s="7"/>
      <c r="TZH103" s="4"/>
      <c r="TZM103" s="7"/>
      <c r="TZN103" s="7"/>
      <c r="TZO103" s="7"/>
      <c r="TZP103" s="4"/>
      <c r="TZU103" s="7"/>
      <c r="TZV103" s="7"/>
      <c r="TZW103" s="7"/>
      <c r="TZX103" s="4"/>
      <c r="UAC103" s="7"/>
      <c r="UAD103" s="7"/>
      <c r="UAE103" s="7"/>
      <c r="UAF103" s="4"/>
      <c r="UAK103" s="7"/>
      <c r="UAL103" s="7"/>
      <c r="UAM103" s="7"/>
      <c r="UAN103" s="4"/>
      <c r="UAS103" s="7"/>
      <c r="UAT103" s="7"/>
      <c r="UAU103" s="7"/>
      <c r="UAV103" s="4"/>
      <c r="UBA103" s="7"/>
      <c r="UBB103" s="7"/>
      <c r="UBC103" s="7"/>
      <c r="UBD103" s="4"/>
      <c r="UBI103" s="7"/>
      <c r="UBJ103" s="7"/>
      <c r="UBK103" s="7"/>
      <c r="UBL103" s="4"/>
      <c r="UBQ103" s="7"/>
      <c r="UBR103" s="7"/>
      <c r="UBS103" s="7"/>
      <c r="UBT103" s="4"/>
      <c r="UBY103" s="7"/>
      <c r="UBZ103" s="7"/>
      <c r="UCA103" s="7"/>
      <c r="UCB103" s="4"/>
      <c r="UCG103" s="7"/>
      <c r="UCH103" s="7"/>
      <c r="UCI103" s="7"/>
      <c r="UCJ103" s="4"/>
      <c r="UCO103" s="7"/>
      <c r="UCP103" s="7"/>
      <c r="UCQ103" s="7"/>
      <c r="UCR103" s="4"/>
      <c r="UCW103" s="7"/>
      <c r="UCX103" s="7"/>
      <c r="UCY103" s="7"/>
      <c r="UCZ103" s="4"/>
      <c r="UDE103" s="7"/>
      <c r="UDF103" s="7"/>
      <c r="UDG103" s="7"/>
      <c r="UDH103" s="4"/>
      <c r="UDM103" s="7"/>
      <c r="UDN103" s="7"/>
      <c r="UDO103" s="7"/>
      <c r="UDP103" s="4"/>
      <c r="UDU103" s="7"/>
      <c r="UDV103" s="7"/>
      <c r="UDW103" s="7"/>
      <c r="UDX103" s="4"/>
      <c r="UEC103" s="7"/>
      <c r="UED103" s="7"/>
      <c r="UEE103" s="7"/>
      <c r="UEF103" s="4"/>
      <c r="UEK103" s="7"/>
      <c r="UEL103" s="7"/>
      <c r="UEM103" s="7"/>
      <c r="UEN103" s="4"/>
      <c r="UES103" s="7"/>
      <c r="UET103" s="7"/>
      <c r="UEU103" s="7"/>
      <c r="UEV103" s="4"/>
      <c r="UFA103" s="7"/>
      <c r="UFB103" s="7"/>
      <c r="UFC103" s="7"/>
      <c r="UFD103" s="4"/>
      <c r="UFI103" s="7"/>
      <c r="UFJ103" s="7"/>
      <c r="UFK103" s="7"/>
      <c r="UFL103" s="4"/>
      <c r="UFQ103" s="7"/>
      <c r="UFR103" s="7"/>
      <c r="UFS103" s="7"/>
      <c r="UFT103" s="4"/>
      <c r="UFY103" s="7"/>
      <c r="UFZ103" s="7"/>
      <c r="UGA103" s="7"/>
      <c r="UGB103" s="4"/>
      <c r="UGG103" s="7"/>
      <c r="UGH103" s="7"/>
      <c r="UGI103" s="7"/>
      <c r="UGJ103" s="4"/>
      <c r="UGO103" s="7"/>
      <c r="UGP103" s="7"/>
      <c r="UGQ103" s="7"/>
      <c r="UGR103" s="4"/>
      <c r="UGW103" s="7"/>
      <c r="UGX103" s="7"/>
      <c r="UGY103" s="7"/>
      <c r="UGZ103" s="4"/>
      <c r="UHE103" s="7"/>
      <c r="UHF103" s="7"/>
      <c r="UHG103" s="7"/>
      <c r="UHH103" s="4"/>
      <c r="UHM103" s="7"/>
      <c r="UHN103" s="7"/>
      <c r="UHO103" s="7"/>
      <c r="UHP103" s="4"/>
      <c r="UHU103" s="7"/>
      <c r="UHV103" s="7"/>
      <c r="UHW103" s="7"/>
      <c r="UHX103" s="4"/>
      <c r="UIC103" s="7"/>
      <c r="UID103" s="7"/>
      <c r="UIE103" s="7"/>
      <c r="UIF103" s="4"/>
      <c r="UIK103" s="7"/>
      <c r="UIL103" s="7"/>
      <c r="UIM103" s="7"/>
      <c r="UIN103" s="4"/>
      <c r="UIS103" s="7"/>
      <c r="UIT103" s="7"/>
      <c r="UIU103" s="7"/>
      <c r="UIV103" s="4"/>
      <c r="UJA103" s="7"/>
      <c r="UJB103" s="7"/>
      <c r="UJC103" s="7"/>
      <c r="UJD103" s="4"/>
      <c r="UJI103" s="7"/>
      <c r="UJJ103" s="7"/>
      <c r="UJK103" s="7"/>
      <c r="UJL103" s="4"/>
      <c r="UJQ103" s="7"/>
      <c r="UJR103" s="7"/>
      <c r="UJS103" s="7"/>
      <c r="UJT103" s="4"/>
      <c r="UJY103" s="7"/>
      <c r="UJZ103" s="7"/>
      <c r="UKA103" s="7"/>
      <c r="UKB103" s="4"/>
      <c r="UKG103" s="7"/>
      <c r="UKH103" s="7"/>
      <c r="UKI103" s="7"/>
      <c r="UKJ103" s="4"/>
      <c r="UKO103" s="7"/>
      <c r="UKP103" s="7"/>
      <c r="UKQ103" s="7"/>
      <c r="UKR103" s="4"/>
      <c r="UKW103" s="7"/>
      <c r="UKX103" s="7"/>
      <c r="UKY103" s="7"/>
      <c r="UKZ103" s="4"/>
      <c r="ULE103" s="7"/>
      <c r="ULF103" s="7"/>
      <c r="ULG103" s="7"/>
      <c r="ULH103" s="4"/>
      <c r="ULM103" s="7"/>
      <c r="ULN103" s="7"/>
      <c r="ULO103" s="7"/>
      <c r="ULP103" s="4"/>
      <c r="ULU103" s="7"/>
      <c r="ULV103" s="7"/>
      <c r="ULW103" s="7"/>
      <c r="ULX103" s="4"/>
      <c r="UMC103" s="7"/>
      <c r="UMD103" s="7"/>
      <c r="UME103" s="7"/>
      <c r="UMF103" s="4"/>
      <c r="UMK103" s="7"/>
      <c r="UML103" s="7"/>
      <c r="UMM103" s="7"/>
      <c r="UMN103" s="4"/>
      <c r="UMS103" s="7"/>
      <c r="UMT103" s="7"/>
      <c r="UMU103" s="7"/>
      <c r="UMV103" s="4"/>
      <c r="UNA103" s="7"/>
      <c r="UNB103" s="7"/>
      <c r="UNC103" s="7"/>
      <c r="UND103" s="4"/>
      <c r="UNI103" s="7"/>
      <c r="UNJ103" s="7"/>
      <c r="UNK103" s="7"/>
      <c r="UNL103" s="4"/>
      <c r="UNQ103" s="7"/>
      <c r="UNR103" s="7"/>
      <c r="UNS103" s="7"/>
      <c r="UNT103" s="4"/>
      <c r="UNY103" s="7"/>
      <c r="UNZ103" s="7"/>
      <c r="UOA103" s="7"/>
      <c r="UOB103" s="4"/>
      <c r="UOG103" s="7"/>
      <c r="UOH103" s="7"/>
      <c r="UOI103" s="7"/>
      <c r="UOJ103" s="4"/>
      <c r="UOO103" s="7"/>
      <c r="UOP103" s="7"/>
      <c r="UOQ103" s="7"/>
      <c r="UOR103" s="4"/>
      <c r="UOW103" s="7"/>
      <c r="UOX103" s="7"/>
      <c r="UOY103" s="7"/>
      <c r="UOZ103" s="4"/>
      <c r="UPE103" s="7"/>
      <c r="UPF103" s="7"/>
      <c r="UPG103" s="7"/>
      <c r="UPH103" s="4"/>
      <c r="UPM103" s="7"/>
      <c r="UPN103" s="7"/>
      <c r="UPO103" s="7"/>
      <c r="UPP103" s="4"/>
      <c r="UPU103" s="7"/>
      <c r="UPV103" s="7"/>
      <c r="UPW103" s="7"/>
      <c r="UPX103" s="4"/>
      <c r="UQC103" s="7"/>
      <c r="UQD103" s="7"/>
      <c r="UQE103" s="7"/>
      <c r="UQF103" s="4"/>
      <c r="UQK103" s="7"/>
      <c r="UQL103" s="7"/>
      <c r="UQM103" s="7"/>
      <c r="UQN103" s="4"/>
      <c r="UQS103" s="7"/>
      <c r="UQT103" s="7"/>
      <c r="UQU103" s="7"/>
      <c r="UQV103" s="4"/>
      <c r="URA103" s="7"/>
      <c r="URB103" s="7"/>
      <c r="URC103" s="7"/>
      <c r="URD103" s="4"/>
      <c r="URI103" s="7"/>
      <c r="URJ103" s="7"/>
      <c r="URK103" s="7"/>
      <c r="URL103" s="4"/>
      <c r="URQ103" s="7"/>
      <c r="URR103" s="7"/>
      <c r="URS103" s="7"/>
      <c r="URT103" s="4"/>
      <c r="URY103" s="7"/>
      <c r="URZ103" s="7"/>
      <c r="USA103" s="7"/>
      <c r="USB103" s="4"/>
      <c r="USG103" s="7"/>
      <c r="USH103" s="7"/>
      <c r="USI103" s="7"/>
      <c r="USJ103" s="4"/>
      <c r="USO103" s="7"/>
      <c r="USP103" s="7"/>
      <c r="USQ103" s="7"/>
      <c r="USR103" s="4"/>
      <c r="USW103" s="7"/>
      <c r="USX103" s="7"/>
      <c r="USY103" s="7"/>
      <c r="USZ103" s="4"/>
      <c r="UTE103" s="7"/>
      <c r="UTF103" s="7"/>
      <c r="UTG103" s="7"/>
      <c r="UTH103" s="4"/>
      <c r="UTM103" s="7"/>
      <c r="UTN103" s="7"/>
      <c r="UTO103" s="7"/>
      <c r="UTP103" s="4"/>
      <c r="UTU103" s="7"/>
      <c r="UTV103" s="7"/>
      <c r="UTW103" s="7"/>
      <c r="UTX103" s="4"/>
      <c r="UUC103" s="7"/>
      <c r="UUD103" s="7"/>
      <c r="UUE103" s="7"/>
      <c r="UUF103" s="4"/>
      <c r="UUK103" s="7"/>
      <c r="UUL103" s="7"/>
      <c r="UUM103" s="7"/>
      <c r="UUN103" s="4"/>
      <c r="UUS103" s="7"/>
      <c r="UUT103" s="7"/>
      <c r="UUU103" s="7"/>
      <c r="UUV103" s="4"/>
      <c r="UVA103" s="7"/>
      <c r="UVB103" s="7"/>
      <c r="UVC103" s="7"/>
      <c r="UVD103" s="4"/>
      <c r="UVI103" s="7"/>
      <c r="UVJ103" s="7"/>
      <c r="UVK103" s="7"/>
      <c r="UVL103" s="4"/>
      <c r="UVQ103" s="7"/>
      <c r="UVR103" s="7"/>
      <c r="UVS103" s="7"/>
      <c r="UVT103" s="4"/>
      <c r="UVY103" s="7"/>
      <c r="UVZ103" s="7"/>
      <c r="UWA103" s="7"/>
      <c r="UWB103" s="4"/>
      <c r="UWG103" s="7"/>
      <c r="UWH103" s="7"/>
      <c r="UWI103" s="7"/>
      <c r="UWJ103" s="4"/>
      <c r="UWO103" s="7"/>
      <c r="UWP103" s="7"/>
      <c r="UWQ103" s="7"/>
      <c r="UWR103" s="4"/>
      <c r="UWW103" s="7"/>
      <c r="UWX103" s="7"/>
      <c r="UWY103" s="7"/>
      <c r="UWZ103" s="4"/>
      <c r="UXE103" s="7"/>
      <c r="UXF103" s="7"/>
      <c r="UXG103" s="7"/>
      <c r="UXH103" s="4"/>
      <c r="UXM103" s="7"/>
      <c r="UXN103" s="7"/>
      <c r="UXO103" s="7"/>
      <c r="UXP103" s="4"/>
      <c r="UXU103" s="7"/>
      <c r="UXV103" s="7"/>
      <c r="UXW103" s="7"/>
      <c r="UXX103" s="4"/>
      <c r="UYC103" s="7"/>
      <c r="UYD103" s="7"/>
      <c r="UYE103" s="7"/>
      <c r="UYF103" s="4"/>
      <c r="UYK103" s="7"/>
      <c r="UYL103" s="7"/>
      <c r="UYM103" s="7"/>
      <c r="UYN103" s="4"/>
      <c r="UYS103" s="7"/>
      <c r="UYT103" s="7"/>
      <c r="UYU103" s="7"/>
      <c r="UYV103" s="4"/>
      <c r="UZA103" s="7"/>
      <c r="UZB103" s="7"/>
      <c r="UZC103" s="7"/>
      <c r="UZD103" s="4"/>
      <c r="UZI103" s="7"/>
      <c r="UZJ103" s="7"/>
      <c r="UZK103" s="7"/>
      <c r="UZL103" s="4"/>
      <c r="UZQ103" s="7"/>
      <c r="UZR103" s="7"/>
      <c r="UZS103" s="7"/>
      <c r="UZT103" s="4"/>
      <c r="UZY103" s="7"/>
      <c r="UZZ103" s="7"/>
      <c r="VAA103" s="7"/>
      <c r="VAB103" s="4"/>
      <c r="VAG103" s="7"/>
      <c r="VAH103" s="7"/>
      <c r="VAI103" s="7"/>
      <c r="VAJ103" s="4"/>
      <c r="VAO103" s="7"/>
      <c r="VAP103" s="7"/>
      <c r="VAQ103" s="7"/>
      <c r="VAR103" s="4"/>
      <c r="VAW103" s="7"/>
      <c r="VAX103" s="7"/>
      <c r="VAY103" s="7"/>
      <c r="VAZ103" s="4"/>
      <c r="VBE103" s="7"/>
      <c r="VBF103" s="7"/>
      <c r="VBG103" s="7"/>
      <c r="VBH103" s="4"/>
      <c r="VBM103" s="7"/>
      <c r="VBN103" s="7"/>
      <c r="VBO103" s="7"/>
      <c r="VBP103" s="4"/>
      <c r="VBU103" s="7"/>
      <c r="VBV103" s="7"/>
      <c r="VBW103" s="7"/>
      <c r="VBX103" s="4"/>
      <c r="VCC103" s="7"/>
      <c r="VCD103" s="7"/>
      <c r="VCE103" s="7"/>
      <c r="VCF103" s="4"/>
      <c r="VCK103" s="7"/>
      <c r="VCL103" s="7"/>
      <c r="VCM103" s="7"/>
      <c r="VCN103" s="4"/>
      <c r="VCS103" s="7"/>
      <c r="VCT103" s="7"/>
      <c r="VCU103" s="7"/>
      <c r="VCV103" s="4"/>
      <c r="VDA103" s="7"/>
      <c r="VDB103" s="7"/>
      <c r="VDC103" s="7"/>
      <c r="VDD103" s="4"/>
      <c r="VDI103" s="7"/>
      <c r="VDJ103" s="7"/>
      <c r="VDK103" s="7"/>
      <c r="VDL103" s="4"/>
      <c r="VDQ103" s="7"/>
      <c r="VDR103" s="7"/>
      <c r="VDS103" s="7"/>
      <c r="VDT103" s="4"/>
      <c r="VDY103" s="7"/>
      <c r="VDZ103" s="7"/>
      <c r="VEA103" s="7"/>
      <c r="VEB103" s="4"/>
      <c r="VEG103" s="7"/>
      <c r="VEH103" s="7"/>
      <c r="VEI103" s="7"/>
      <c r="VEJ103" s="4"/>
      <c r="VEO103" s="7"/>
      <c r="VEP103" s="7"/>
      <c r="VEQ103" s="7"/>
      <c r="VER103" s="4"/>
      <c r="VEW103" s="7"/>
      <c r="VEX103" s="7"/>
      <c r="VEY103" s="7"/>
      <c r="VEZ103" s="4"/>
      <c r="VFE103" s="7"/>
      <c r="VFF103" s="7"/>
      <c r="VFG103" s="7"/>
      <c r="VFH103" s="4"/>
      <c r="VFM103" s="7"/>
      <c r="VFN103" s="7"/>
      <c r="VFO103" s="7"/>
      <c r="VFP103" s="4"/>
      <c r="VFU103" s="7"/>
      <c r="VFV103" s="7"/>
      <c r="VFW103" s="7"/>
      <c r="VFX103" s="4"/>
      <c r="VGC103" s="7"/>
      <c r="VGD103" s="7"/>
      <c r="VGE103" s="7"/>
      <c r="VGF103" s="4"/>
      <c r="VGK103" s="7"/>
      <c r="VGL103" s="7"/>
      <c r="VGM103" s="7"/>
      <c r="VGN103" s="4"/>
      <c r="VGS103" s="7"/>
      <c r="VGT103" s="7"/>
      <c r="VGU103" s="7"/>
      <c r="VGV103" s="4"/>
      <c r="VHA103" s="7"/>
      <c r="VHB103" s="7"/>
      <c r="VHC103" s="7"/>
      <c r="VHD103" s="4"/>
      <c r="VHI103" s="7"/>
      <c r="VHJ103" s="7"/>
      <c r="VHK103" s="7"/>
      <c r="VHL103" s="4"/>
      <c r="VHQ103" s="7"/>
      <c r="VHR103" s="7"/>
      <c r="VHS103" s="7"/>
      <c r="VHT103" s="4"/>
      <c r="VHY103" s="7"/>
      <c r="VHZ103" s="7"/>
      <c r="VIA103" s="7"/>
      <c r="VIB103" s="4"/>
      <c r="VIG103" s="7"/>
      <c r="VIH103" s="7"/>
      <c r="VII103" s="7"/>
      <c r="VIJ103" s="4"/>
      <c r="VIO103" s="7"/>
      <c r="VIP103" s="7"/>
      <c r="VIQ103" s="7"/>
      <c r="VIR103" s="4"/>
      <c r="VIW103" s="7"/>
      <c r="VIX103" s="7"/>
      <c r="VIY103" s="7"/>
      <c r="VIZ103" s="4"/>
      <c r="VJE103" s="7"/>
      <c r="VJF103" s="7"/>
      <c r="VJG103" s="7"/>
      <c r="VJH103" s="4"/>
      <c r="VJM103" s="7"/>
      <c r="VJN103" s="7"/>
      <c r="VJO103" s="7"/>
      <c r="VJP103" s="4"/>
      <c r="VJU103" s="7"/>
      <c r="VJV103" s="7"/>
      <c r="VJW103" s="7"/>
      <c r="VJX103" s="4"/>
      <c r="VKC103" s="7"/>
      <c r="VKD103" s="7"/>
      <c r="VKE103" s="7"/>
      <c r="VKF103" s="4"/>
      <c r="VKK103" s="7"/>
      <c r="VKL103" s="7"/>
      <c r="VKM103" s="7"/>
      <c r="VKN103" s="4"/>
      <c r="VKS103" s="7"/>
      <c r="VKT103" s="7"/>
      <c r="VKU103" s="7"/>
      <c r="VKV103" s="4"/>
      <c r="VLA103" s="7"/>
      <c r="VLB103" s="7"/>
      <c r="VLC103" s="7"/>
      <c r="VLD103" s="4"/>
      <c r="VLI103" s="7"/>
      <c r="VLJ103" s="7"/>
      <c r="VLK103" s="7"/>
      <c r="VLL103" s="4"/>
      <c r="VLQ103" s="7"/>
      <c r="VLR103" s="7"/>
      <c r="VLS103" s="7"/>
      <c r="VLT103" s="4"/>
      <c r="VLY103" s="7"/>
      <c r="VLZ103" s="7"/>
      <c r="VMA103" s="7"/>
      <c r="VMB103" s="4"/>
      <c r="VMG103" s="7"/>
      <c r="VMH103" s="7"/>
      <c r="VMI103" s="7"/>
      <c r="VMJ103" s="4"/>
      <c r="VMO103" s="7"/>
      <c r="VMP103" s="7"/>
      <c r="VMQ103" s="7"/>
      <c r="VMR103" s="4"/>
      <c r="VMW103" s="7"/>
      <c r="VMX103" s="7"/>
      <c r="VMY103" s="7"/>
      <c r="VMZ103" s="4"/>
      <c r="VNE103" s="7"/>
      <c r="VNF103" s="7"/>
      <c r="VNG103" s="7"/>
      <c r="VNH103" s="4"/>
      <c r="VNM103" s="7"/>
      <c r="VNN103" s="7"/>
      <c r="VNO103" s="7"/>
      <c r="VNP103" s="4"/>
      <c r="VNU103" s="7"/>
      <c r="VNV103" s="7"/>
      <c r="VNW103" s="7"/>
      <c r="VNX103" s="4"/>
      <c r="VOC103" s="7"/>
      <c r="VOD103" s="7"/>
      <c r="VOE103" s="7"/>
      <c r="VOF103" s="4"/>
      <c r="VOK103" s="7"/>
      <c r="VOL103" s="7"/>
      <c r="VOM103" s="7"/>
      <c r="VON103" s="4"/>
      <c r="VOS103" s="7"/>
      <c r="VOT103" s="7"/>
      <c r="VOU103" s="7"/>
      <c r="VOV103" s="4"/>
      <c r="VPA103" s="7"/>
      <c r="VPB103" s="7"/>
      <c r="VPC103" s="7"/>
      <c r="VPD103" s="4"/>
      <c r="VPI103" s="7"/>
      <c r="VPJ103" s="7"/>
      <c r="VPK103" s="7"/>
      <c r="VPL103" s="4"/>
      <c r="VPQ103" s="7"/>
      <c r="VPR103" s="7"/>
      <c r="VPS103" s="7"/>
      <c r="VPT103" s="4"/>
      <c r="VPY103" s="7"/>
      <c r="VPZ103" s="7"/>
      <c r="VQA103" s="7"/>
      <c r="VQB103" s="4"/>
      <c r="VQG103" s="7"/>
      <c r="VQH103" s="7"/>
      <c r="VQI103" s="7"/>
      <c r="VQJ103" s="4"/>
      <c r="VQO103" s="7"/>
      <c r="VQP103" s="7"/>
      <c r="VQQ103" s="7"/>
      <c r="VQR103" s="4"/>
      <c r="VQW103" s="7"/>
      <c r="VQX103" s="7"/>
      <c r="VQY103" s="7"/>
      <c r="VQZ103" s="4"/>
      <c r="VRE103" s="7"/>
      <c r="VRF103" s="7"/>
      <c r="VRG103" s="7"/>
      <c r="VRH103" s="4"/>
      <c r="VRM103" s="7"/>
      <c r="VRN103" s="7"/>
      <c r="VRO103" s="7"/>
      <c r="VRP103" s="4"/>
      <c r="VRU103" s="7"/>
      <c r="VRV103" s="7"/>
      <c r="VRW103" s="7"/>
      <c r="VRX103" s="4"/>
      <c r="VSC103" s="7"/>
      <c r="VSD103" s="7"/>
      <c r="VSE103" s="7"/>
      <c r="VSF103" s="4"/>
      <c r="VSK103" s="7"/>
      <c r="VSL103" s="7"/>
      <c r="VSM103" s="7"/>
      <c r="VSN103" s="4"/>
      <c r="VSS103" s="7"/>
      <c r="VST103" s="7"/>
      <c r="VSU103" s="7"/>
      <c r="VSV103" s="4"/>
      <c r="VTA103" s="7"/>
      <c r="VTB103" s="7"/>
      <c r="VTC103" s="7"/>
      <c r="VTD103" s="4"/>
      <c r="VTI103" s="7"/>
      <c r="VTJ103" s="7"/>
      <c r="VTK103" s="7"/>
      <c r="VTL103" s="4"/>
      <c r="VTQ103" s="7"/>
      <c r="VTR103" s="7"/>
      <c r="VTS103" s="7"/>
      <c r="VTT103" s="4"/>
      <c r="VTY103" s="7"/>
      <c r="VTZ103" s="7"/>
      <c r="VUA103" s="7"/>
      <c r="VUB103" s="4"/>
      <c r="VUG103" s="7"/>
      <c r="VUH103" s="7"/>
      <c r="VUI103" s="7"/>
      <c r="VUJ103" s="4"/>
      <c r="VUO103" s="7"/>
      <c r="VUP103" s="7"/>
      <c r="VUQ103" s="7"/>
      <c r="VUR103" s="4"/>
      <c r="VUW103" s="7"/>
      <c r="VUX103" s="7"/>
      <c r="VUY103" s="7"/>
      <c r="VUZ103" s="4"/>
      <c r="VVE103" s="7"/>
      <c r="VVF103" s="7"/>
      <c r="VVG103" s="7"/>
      <c r="VVH103" s="4"/>
      <c r="VVM103" s="7"/>
      <c r="VVN103" s="7"/>
      <c r="VVO103" s="7"/>
      <c r="VVP103" s="4"/>
      <c r="VVU103" s="7"/>
      <c r="VVV103" s="7"/>
      <c r="VVW103" s="7"/>
      <c r="VVX103" s="4"/>
      <c r="VWC103" s="7"/>
      <c r="VWD103" s="7"/>
      <c r="VWE103" s="7"/>
      <c r="VWF103" s="4"/>
      <c r="VWK103" s="7"/>
      <c r="VWL103" s="7"/>
      <c r="VWM103" s="7"/>
      <c r="VWN103" s="4"/>
      <c r="VWS103" s="7"/>
      <c r="VWT103" s="7"/>
      <c r="VWU103" s="7"/>
      <c r="VWV103" s="4"/>
      <c r="VXA103" s="7"/>
      <c r="VXB103" s="7"/>
      <c r="VXC103" s="7"/>
      <c r="VXD103" s="4"/>
      <c r="VXI103" s="7"/>
      <c r="VXJ103" s="7"/>
      <c r="VXK103" s="7"/>
      <c r="VXL103" s="4"/>
      <c r="VXQ103" s="7"/>
      <c r="VXR103" s="7"/>
      <c r="VXS103" s="7"/>
      <c r="VXT103" s="4"/>
      <c r="VXY103" s="7"/>
      <c r="VXZ103" s="7"/>
      <c r="VYA103" s="7"/>
      <c r="VYB103" s="4"/>
      <c r="VYG103" s="7"/>
      <c r="VYH103" s="7"/>
      <c r="VYI103" s="7"/>
      <c r="VYJ103" s="4"/>
      <c r="VYO103" s="7"/>
      <c r="VYP103" s="7"/>
      <c r="VYQ103" s="7"/>
      <c r="VYR103" s="4"/>
      <c r="VYW103" s="7"/>
      <c r="VYX103" s="7"/>
      <c r="VYY103" s="7"/>
      <c r="VYZ103" s="4"/>
      <c r="VZE103" s="7"/>
      <c r="VZF103" s="7"/>
      <c r="VZG103" s="7"/>
      <c r="VZH103" s="4"/>
      <c r="VZM103" s="7"/>
      <c r="VZN103" s="7"/>
      <c r="VZO103" s="7"/>
      <c r="VZP103" s="4"/>
      <c r="VZU103" s="7"/>
      <c r="VZV103" s="7"/>
      <c r="VZW103" s="7"/>
      <c r="VZX103" s="4"/>
      <c r="WAC103" s="7"/>
      <c r="WAD103" s="7"/>
      <c r="WAE103" s="7"/>
      <c r="WAF103" s="4"/>
      <c r="WAK103" s="7"/>
      <c r="WAL103" s="7"/>
      <c r="WAM103" s="7"/>
      <c r="WAN103" s="4"/>
      <c r="WAS103" s="7"/>
      <c r="WAT103" s="7"/>
      <c r="WAU103" s="7"/>
      <c r="WAV103" s="4"/>
      <c r="WBA103" s="7"/>
      <c r="WBB103" s="7"/>
      <c r="WBC103" s="7"/>
      <c r="WBD103" s="4"/>
      <c r="WBI103" s="7"/>
      <c r="WBJ103" s="7"/>
      <c r="WBK103" s="7"/>
      <c r="WBL103" s="4"/>
      <c r="WBQ103" s="7"/>
      <c r="WBR103" s="7"/>
      <c r="WBS103" s="7"/>
      <c r="WBT103" s="4"/>
      <c r="WBY103" s="7"/>
      <c r="WBZ103" s="7"/>
      <c r="WCA103" s="7"/>
      <c r="WCB103" s="4"/>
      <c r="WCG103" s="7"/>
      <c r="WCH103" s="7"/>
      <c r="WCI103" s="7"/>
      <c r="WCJ103" s="4"/>
      <c r="WCO103" s="7"/>
      <c r="WCP103" s="7"/>
      <c r="WCQ103" s="7"/>
      <c r="WCR103" s="4"/>
      <c r="WCW103" s="7"/>
      <c r="WCX103" s="7"/>
      <c r="WCY103" s="7"/>
      <c r="WCZ103" s="4"/>
      <c r="WDE103" s="7"/>
      <c r="WDF103" s="7"/>
      <c r="WDG103" s="7"/>
      <c r="WDH103" s="4"/>
      <c r="WDM103" s="7"/>
      <c r="WDN103" s="7"/>
      <c r="WDO103" s="7"/>
      <c r="WDP103" s="4"/>
      <c r="WDU103" s="7"/>
      <c r="WDV103" s="7"/>
      <c r="WDW103" s="7"/>
      <c r="WDX103" s="4"/>
      <c r="WEC103" s="7"/>
      <c r="WED103" s="7"/>
      <c r="WEE103" s="7"/>
      <c r="WEF103" s="4"/>
      <c r="WEK103" s="7"/>
      <c r="WEL103" s="7"/>
      <c r="WEM103" s="7"/>
      <c r="WEN103" s="4"/>
      <c r="WES103" s="7"/>
      <c r="WET103" s="7"/>
      <c r="WEU103" s="7"/>
      <c r="WEV103" s="4"/>
      <c r="WFA103" s="7"/>
      <c r="WFB103" s="7"/>
      <c r="WFC103" s="7"/>
      <c r="WFD103" s="4"/>
      <c r="WFI103" s="7"/>
      <c r="WFJ103" s="7"/>
      <c r="WFK103" s="7"/>
      <c r="WFL103" s="4"/>
      <c r="WFQ103" s="7"/>
      <c r="WFR103" s="7"/>
      <c r="WFS103" s="7"/>
      <c r="WFT103" s="4"/>
      <c r="WFY103" s="7"/>
      <c r="WFZ103" s="7"/>
      <c r="WGA103" s="7"/>
      <c r="WGB103" s="4"/>
      <c r="WGG103" s="7"/>
      <c r="WGH103" s="7"/>
      <c r="WGI103" s="7"/>
      <c r="WGJ103" s="4"/>
      <c r="WGO103" s="7"/>
      <c r="WGP103" s="7"/>
      <c r="WGQ103" s="7"/>
      <c r="WGR103" s="4"/>
      <c r="WGW103" s="7"/>
      <c r="WGX103" s="7"/>
      <c r="WGY103" s="7"/>
      <c r="WGZ103" s="4"/>
      <c r="WHE103" s="7"/>
      <c r="WHF103" s="7"/>
      <c r="WHG103" s="7"/>
      <c r="WHH103" s="4"/>
      <c r="WHM103" s="7"/>
      <c r="WHN103" s="7"/>
      <c r="WHO103" s="7"/>
      <c r="WHP103" s="4"/>
      <c r="WHU103" s="7"/>
      <c r="WHV103" s="7"/>
      <c r="WHW103" s="7"/>
      <c r="WHX103" s="4"/>
      <c r="WIC103" s="7"/>
      <c r="WID103" s="7"/>
      <c r="WIE103" s="7"/>
      <c r="WIF103" s="4"/>
      <c r="WIK103" s="7"/>
      <c r="WIL103" s="7"/>
      <c r="WIM103" s="7"/>
      <c r="WIN103" s="4"/>
      <c r="WIS103" s="7"/>
      <c r="WIT103" s="7"/>
      <c r="WIU103" s="7"/>
      <c r="WIV103" s="4"/>
      <c r="WJA103" s="7"/>
      <c r="WJB103" s="7"/>
      <c r="WJC103" s="7"/>
      <c r="WJD103" s="4"/>
      <c r="WJI103" s="7"/>
      <c r="WJJ103" s="7"/>
      <c r="WJK103" s="7"/>
      <c r="WJL103" s="4"/>
      <c r="WJQ103" s="7"/>
      <c r="WJR103" s="7"/>
      <c r="WJS103" s="7"/>
      <c r="WJT103" s="4"/>
      <c r="WJY103" s="7"/>
      <c r="WJZ103" s="7"/>
      <c r="WKA103" s="7"/>
      <c r="WKB103" s="4"/>
      <c r="WKG103" s="7"/>
      <c r="WKH103" s="7"/>
      <c r="WKI103" s="7"/>
      <c r="WKJ103" s="4"/>
      <c r="WKO103" s="7"/>
      <c r="WKP103" s="7"/>
      <c r="WKQ103" s="7"/>
      <c r="WKR103" s="4"/>
      <c r="WKW103" s="7"/>
      <c r="WKX103" s="7"/>
      <c r="WKY103" s="7"/>
      <c r="WKZ103" s="4"/>
      <c r="WLE103" s="7"/>
      <c r="WLF103" s="7"/>
      <c r="WLG103" s="7"/>
      <c r="WLH103" s="4"/>
      <c r="WLM103" s="7"/>
      <c r="WLN103" s="7"/>
      <c r="WLO103" s="7"/>
      <c r="WLP103" s="4"/>
      <c r="WLU103" s="7"/>
      <c r="WLV103" s="7"/>
      <c r="WLW103" s="7"/>
      <c r="WLX103" s="4"/>
      <c r="WMC103" s="7"/>
      <c r="WMD103" s="7"/>
      <c r="WME103" s="7"/>
      <c r="WMF103" s="4"/>
      <c r="WMK103" s="7"/>
      <c r="WML103" s="7"/>
      <c r="WMM103" s="7"/>
      <c r="WMN103" s="4"/>
      <c r="WMS103" s="7"/>
      <c r="WMT103" s="7"/>
      <c r="WMU103" s="7"/>
      <c r="WMV103" s="4"/>
      <c r="WNA103" s="7"/>
      <c r="WNB103" s="7"/>
      <c r="WNC103" s="7"/>
      <c r="WND103" s="4"/>
      <c r="WNI103" s="7"/>
      <c r="WNJ103" s="7"/>
      <c r="WNK103" s="7"/>
      <c r="WNL103" s="4"/>
      <c r="WNQ103" s="7"/>
      <c r="WNR103" s="7"/>
      <c r="WNS103" s="7"/>
      <c r="WNT103" s="4"/>
      <c r="WNY103" s="7"/>
      <c r="WNZ103" s="7"/>
      <c r="WOA103" s="7"/>
      <c r="WOB103" s="4"/>
      <c r="WOG103" s="7"/>
      <c r="WOH103" s="7"/>
      <c r="WOI103" s="7"/>
      <c r="WOJ103" s="4"/>
      <c r="WOO103" s="7"/>
      <c r="WOP103" s="7"/>
      <c r="WOQ103" s="7"/>
      <c r="WOR103" s="4"/>
      <c r="WOW103" s="7"/>
      <c r="WOX103" s="7"/>
      <c r="WOY103" s="7"/>
      <c r="WOZ103" s="4"/>
      <c r="WPE103" s="7"/>
      <c r="WPF103" s="7"/>
      <c r="WPG103" s="7"/>
      <c r="WPH103" s="4"/>
      <c r="WPM103" s="7"/>
      <c r="WPN103" s="7"/>
      <c r="WPO103" s="7"/>
      <c r="WPP103" s="4"/>
      <c r="WPU103" s="7"/>
      <c r="WPV103" s="7"/>
      <c r="WPW103" s="7"/>
      <c r="WPX103" s="4"/>
      <c r="WQC103" s="7"/>
      <c r="WQD103" s="7"/>
      <c r="WQE103" s="7"/>
      <c r="WQF103" s="4"/>
      <c r="WQK103" s="7"/>
      <c r="WQL103" s="7"/>
      <c r="WQM103" s="7"/>
      <c r="WQN103" s="4"/>
      <c r="WQS103" s="7"/>
      <c r="WQT103" s="7"/>
      <c r="WQU103" s="7"/>
      <c r="WQV103" s="4"/>
      <c r="WRA103" s="7"/>
      <c r="WRB103" s="7"/>
      <c r="WRC103" s="7"/>
      <c r="WRD103" s="4"/>
      <c r="WRI103" s="7"/>
      <c r="WRJ103" s="7"/>
      <c r="WRK103" s="7"/>
      <c r="WRL103" s="4"/>
      <c r="WRQ103" s="7"/>
      <c r="WRR103" s="7"/>
      <c r="WRS103" s="7"/>
      <c r="WRT103" s="4"/>
      <c r="WRY103" s="7"/>
      <c r="WRZ103" s="7"/>
      <c r="WSA103" s="7"/>
      <c r="WSB103" s="4"/>
      <c r="WSG103" s="7"/>
      <c r="WSH103" s="7"/>
      <c r="WSI103" s="7"/>
      <c r="WSJ103" s="4"/>
      <c r="WSO103" s="7"/>
      <c r="WSP103" s="7"/>
      <c r="WSQ103" s="7"/>
      <c r="WSR103" s="4"/>
      <c r="WSW103" s="7"/>
      <c r="WSX103" s="7"/>
      <c r="WSY103" s="7"/>
      <c r="WSZ103" s="4"/>
      <c r="WTE103" s="7"/>
      <c r="WTF103" s="7"/>
      <c r="WTG103" s="7"/>
      <c r="WTH103" s="4"/>
      <c r="WTM103" s="7"/>
      <c r="WTN103" s="7"/>
      <c r="WTO103" s="7"/>
      <c r="WTP103" s="4"/>
      <c r="WTU103" s="7"/>
      <c r="WTV103" s="7"/>
      <c r="WTW103" s="7"/>
      <c r="WTX103" s="4"/>
      <c r="WUC103" s="7"/>
      <c r="WUD103" s="7"/>
      <c r="WUE103" s="7"/>
      <c r="WUF103" s="4"/>
      <c r="WUK103" s="7"/>
      <c r="WUL103" s="7"/>
      <c r="WUM103" s="7"/>
      <c r="WUN103" s="4"/>
      <c r="WUS103" s="7"/>
      <c r="WUT103" s="7"/>
      <c r="WUU103" s="7"/>
      <c r="WUV103" s="4"/>
      <c r="WVA103" s="7"/>
      <c r="WVB103" s="7"/>
      <c r="WVC103" s="7"/>
      <c r="WVD103" s="4"/>
      <c r="WVI103" s="7"/>
      <c r="WVJ103" s="7"/>
      <c r="WVK103" s="7"/>
      <c r="WVL103" s="4"/>
      <c r="WVQ103" s="7"/>
      <c r="WVR103" s="7"/>
      <c r="WVS103" s="7"/>
      <c r="WVT103" s="4"/>
      <c r="WVY103" s="7"/>
      <c r="WVZ103" s="7"/>
      <c r="WWA103" s="7"/>
      <c r="WWB103" s="4"/>
      <c r="WWG103" s="7"/>
      <c r="WWH103" s="7"/>
      <c r="WWI103" s="7"/>
      <c r="WWJ103" s="4"/>
      <c r="WWO103" s="7"/>
      <c r="WWP103" s="7"/>
      <c r="WWQ103" s="7"/>
      <c r="WWR103" s="4"/>
      <c r="WWW103" s="7"/>
      <c r="WWX103" s="7"/>
      <c r="WWY103" s="7"/>
      <c r="WWZ103" s="4"/>
      <c r="WXE103" s="7"/>
      <c r="WXF103" s="7"/>
      <c r="WXG103" s="7"/>
      <c r="WXH103" s="4"/>
      <c r="WXM103" s="7"/>
      <c r="WXN103" s="7"/>
      <c r="WXO103" s="7"/>
      <c r="WXP103" s="4"/>
      <c r="WXU103" s="7"/>
      <c r="WXV103" s="7"/>
      <c r="WXW103" s="7"/>
      <c r="WXX103" s="4"/>
      <c r="WYC103" s="7"/>
      <c r="WYD103" s="7"/>
      <c r="WYE103" s="7"/>
      <c r="WYF103" s="4"/>
      <c r="WYK103" s="7"/>
      <c r="WYL103" s="7"/>
      <c r="WYM103" s="7"/>
      <c r="WYN103" s="4"/>
      <c r="WYS103" s="7"/>
      <c r="WYT103" s="7"/>
      <c r="WYU103" s="7"/>
      <c r="WYV103" s="4"/>
      <c r="WZA103" s="7"/>
      <c r="WZB103" s="7"/>
      <c r="WZC103" s="7"/>
      <c r="WZD103" s="4"/>
      <c r="WZI103" s="7"/>
      <c r="WZJ103" s="7"/>
      <c r="WZK103" s="7"/>
      <c r="WZL103" s="4"/>
      <c r="WZQ103" s="7"/>
      <c r="WZR103" s="7"/>
      <c r="WZS103" s="7"/>
      <c r="WZT103" s="4"/>
      <c r="WZY103" s="7"/>
      <c r="WZZ103" s="7"/>
      <c r="XAA103" s="7"/>
      <c r="XAB103" s="4"/>
      <c r="XAG103" s="7"/>
      <c r="XAH103" s="7"/>
      <c r="XAI103" s="7"/>
      <c r="XAJ103" s="4"/>
      <c r="XAO103" s="7"/>
      <c r="XAP103" s="7"/>
      <c r="XAQ103" s="7"/>
      <c r="XAR103" s="4"/>
      <c r="XAW103" s="7"/>
      <c r="XAX103" s="7"/>
      <c r="XAY103" s="7"/>
      <c r="XAZ103" s="4"/>
      <c r="XBE103" s="7"/>
      <c r="XBF103" s="7"/>
      <c r="XBG103" s="7"/>
      <c r="XBH103" s="4"/>
      <c r="XBM103" s="7"/>
      <c r="XBN103" s="7"/>
      <c r="XBO103" s="7"/>
      <c r="XBP103" s="4"/>
      <c r="XBU103" s="7"/>
      <c r="XBV103" s="7"/>
      <c r="XBW103" s="7"/>
      <c r="XBX103" s="4"/>
      <c r="XCC103" s="7"/>
      <c r="XCD103" s="7"/>
      <c r="XCE103" s="7"/>
      <c r="XCF103" s="4"/>
      <c r="XCK103" s="7"/>
      <c r="XCL103" s="7"/>
      <c r="XCM103" s="7"/>
      <c r="XCN103" s="4"/>
      <c r="XCS103" s="7"/>
      <c r="XCT103" s="7"/>
      <c r="XCU103" s="7"/>
      <c r="XCV103" s="4"/>
      <c r="XDA103" s="7"/>
      <c r="XDB103" s="7"/>
      <c r="XDC103" s="7"/>
      <c r="XDD103" s="4"/>
      <c r="XDI103" s="7"/>
      <c r="XDJ103" s="7"/>
      <c r="XDK103" s="7"/>
      <c r="XDL103" s="4"/>
      <c r="XDQ103" s="7"/>
      <c r="XDR103" s="7"/>
      <c r="XDS103" s="7"/>
      <c r="XDT103" s="4"/>
      <c r="XDY103" s="7"/>
      <c r="XDZ103" s="7"/>
      <c r="XEA103" s="7"/>
      <c r="XEB103" s="4"/>
      <c r="XEG103" s="7"/>
      <c r="XEH103" s="7"/>
      <c r="XEI103" s="7"/>
      <c r="XEJ103" s="4"/>
      <c r="XEO103" s="7"/>
      <c r="XEP103" s="7"/>
      <c r="XEQ103" s="7"/>
      <c r="XER103" s="4"/>
      <c r="XEW103" s="7"/>
      <c r="XEX103" s="7"/>
      <c r="XEY103" s="7"/>
      <c r="XEZ103" s="4"/>
    </row>
    <row r="104" spans="1:1020 1025:2044 2049:3068 3073:4092 4097:5116 5121:6140 6145:7164 7169:8188 8193:9212 9217:10236 10241:11260 11265:12284 12289:13308 13313:14332 14337:15356 15361:16380" hidden="1" x14ac:dyDescent="0.3">
      <c r="A104" s="2" t="s">
        <v>95</v>
      </c>
      <c r="B104" s="7">
        <v>0.03</v>
      </c>
      <c r="C104" s="7">
        <v>0.23</v>
      </c>
      <c r="D104" s="7">
        <v>0.17</v>
      </c>
      <c r="E104" s="4" t="s">
        <v>27</v>
      </c>
      <c r="F104" s="11">
        <f t="shared" ref="F104:H104" si="210">IFERROR(B104*100,"-")</f>
        <v>3</v>
      </c>
      <c r="G104" s="11">
        <f t="shared" si="210"/>
        <v>23</v>
      </c>
      <c r="H104" s="11">
        <f t="shared" si="210"/>
        <v>17</v>
      </c>
      <c r="I104" s="11">
        <f t="shared" ref="I104" si="211">IFERROR(E104*1000,"-")</f>
        <v>200</v>
      </c>
      <c r="J104" s="11">
        <f t="shared" si="190"/>
        <v>3</v>
      </c>
      <c r="K104" s="11">
        <f t="shared" si="191"/>
        <v>23</v>
      </c>
      <c r="L104" s="11">
        <f t="shared" si="192"/>
        <v>17</v>
      </c>
      <c r="M104" s="11">
        <f t="shared" si="193"/>
        <v>200</v>
      </c>
    </row>
    <row r="105" spans="1:1020 1025:2044 2049:3068 3073:4092 4097:5116 5121:6140 6145:7164 7169:8188 8193:9212 9217:10236 10241:11260 11265:12284 12289:13308 13313:14332 14337:15356 15361:16380" hidden="1" x14ac:dyDescent="0.3">
      <c r="A105" s="2" t="s">
        <v>96</v>
      </c>
      <c r="B105" s="10" t="s">
        <v>62</v>
      </c>
      <c r="C105" s="10" t="s">
        <v>62</v>
      </c>
      <c r="D105" s="10" t="s">
        <v>62</v>
      </c>
      <c r="E105" s="4" t="s">
        <v>62</v>
      </c>
      <c r="F105" s="11" t="str">
        <f t="shared" si="15"/>
        <v>-</v>
      </c>
      <c r="G105" s="11" t="str">
        <f t="shared" si="16"/>
        <v>-</v>
      </c>
      <c r="H105" s="11" t="str">
        <f t="shared" si="17"/>
        <v>-</v>
      </c>
      <c r="I105" s="11" t="str">
        <f t="shared" si="18"/>
        <v>-</v>
      </c>
      <c r="J105" s="11" t="str">
        <f t="shared" si="190"/>
        <v>-</v>
      </c>
      <c r="K105" s="11" t="str">
        <f t="shared" si="191"/>
        <v>-</v>
      </c>
      <c r="L105" s="11" t="str">
        <f t="shared" si="192"/>
        <v>-</v>
      </c>
      <c r="M105" s="11" t="str">
        <f t="shared" si="193"/>
        <v>-</v>
      </c>
    </row>
    <row r="106" spans="1:1020 1025:2044 2049:3068 3073:4092 4097:5116 5121:6140 6145:7164 7169:8188 8193:9212 9217:10236 10241:11260 11265:12284 12289:13308 13313:14332 14337:15356 15361:16380" hidden="1" x14ac:dyDescent="0.3">
      <c r="A106" s="2" t="s">
        <v>97</v>
      </c>
      <c r="B106" s="10" t="s">
        <v>62</v>
      </c>
      <c r="C106" s="10" t="s">
        <v>62</v>
      </c>
      <c r="D106" s="10" t="s">
        <v>62</v>
      </c>
      <c r="E106" s="4" t="s">
        <v>62</v>
      </c>
      <c r="F106" s="11" t="str">
        <f t="shared" ref="F106:F120" si="212">IFERROR(B106*100,"-")</f>
        <v>-</v>
      </c>
      <c r="G106" s="11" t="str">
        <f t="shared" ref="G106:G120" si="213">IFERROR(C106*100,"-")</f>
        <v>-</v>
      </c>
      <c r="H106" s="11" t="str">
        <f t="shared" ref="H106:H120" si="214">IFERROR(D106*100,"-")</f>
        <v>-</v>
      </c>
      <c r="I106" s="11" t="str">
        <f t="shared" ref="I106:I120" si="215">IFERROR(E106*1000,"-")</f>
        <v>-</v>
      </c>
      <c r="J106" s="11" t="str">
        <f t="shared" si="190"/>
        <v>-</v>
      </c>
      <c r="K106" s="11" t="str">
        <f t="shared" si="191"/>
        <v>-</v>
      </c>
      <c r="L106" s="11" t="str">
        <f t="shared" si="192"/>
        <v>-</v>
      </c>
      <c r="M106" s="11" t="str">
        <f t="shared" si="193"/>
        <v>-</v>
      </c>
    </row>
    <row r="107" spans="1:1020 1025:2044 2049:3068 3073:4092 4097:5116 5121:6140 6145:7164 7169:8188 8193:9212 9217:10236 10241:11260 11265:12284 12289:13308 13313:14332 14337:15356 15361:16380" hidden="1" x14ac:dyDescent="0.3">
      <c r="A107" s="2" t="s">
        <v>98</v>
      </c>
      <c r="B107" s="10" t="s">
        <v>62</v>
      </c>
      <c r="C107" s="10" t="s">
        <v>62</v>
      </c>
      <c r="D107" s="10" t="s">
        <v>62</v>
      </c>
      <c r="E107" s="4" t="s">
        <v>62</v>
      </c>
      <c r="F107" s="11" t="str">
        <f t="shared" si="212"/>
        <v>-</v>
      </c>
      <c r="G107" s="11" t="str">
        <f t="shared" si="213"/>
        <v>-</v>
      </c>
      <c r="H107" s="11" t="str">
        <f t="shared" si="214"/>
        <v>-</v>
      </c>
      <c r="I107" s="11" t="str">
        <f t="shared" si="215"/>
        <v>-</v>
      </c>
      <c r="J107" s="11" t="str">
        <f t="shared" si="190"/>
        <v>-</v>
      </c>
      <c r="K107" s="11" t="str">
        <f t="shared" si="191"/>
        <v>-</v>
      </c>
      <c r="L107" s="11" t="str">
        <f t="shared" si="192"/>
        <v>-</v>
      </c>
      <c r="M107" s="11" t="str">
        <f t="shared" si="193"/>
        <v>-</v>
      </c>
    </row>
    <row r="108" spans="1:1020 1025:2044 2049:3068 3073:4092 4097:5116 5121:6140 6145:7164 7169:8188 8193:9212 9217:10236 10241:11260 11265:12284 12289:13308 13313:14332 14337:15356 15361:16380" hidden="1" x14ac:dyDescent="0.3">
      <c r="A108" s="2" t="s">
        <v>99</v>
      </c>
      <c r="B108" s="10" t="s">
        <v>62</v>
      </c>
      <c r="C108" s="10" t="s">
        <v>62</v>
      </c>
      <c r="D108" s="10" t="s">
        <v>62</v>
      </c>
      <c r="E108" s="4" t="s">
        <v>62</v>
      </c>
      <c r="F108" s="11" t="str">
        <f t="shared" si="212"/>
        <v>-</v>
      </c>
      <c r="G108" s="11" t="str">
        <f t="shared" si="213"/>
        <v>-</v>
      </c>
      <c r="H108" s="11" t="str">
        <f t="shared" si="214"/>
        <v>-</v>
      </c>
      <c r="I108" s="11" t="str">
        <f t="shared" si="215"/>
        <v>-</v>
      </c>
      <c r="J108" s="11" t="str">
        <f t="shared" si="190"/>
        <v>-</v>
      </c>
      <c r="K108" s="11" t="str">
        <f t="shared" si="191"/>
        <v>-</v>
      </c>
      <c r="L108" s="11" t="str">
        <f t="shared" si="192"/>
        <v>-</v>
      </c>
      <c r="M108" s="11" t="str">
        <f t="shared" si="193"/>
        <v>-</v>
      </c>
    </row>
    <row r="109" spans="1:1020 1025:2044 2049:3068 3073:4092 4097:5116 5121:6140 6145:7164 7169:8188 8193:9212 9217:10236 10241:11260 11265:12284 12289:13308 13313:14332 14337:15356 15361:16380" hidden="1" x14ac:dyDescent="0.3">
      <c r="A109" s="2" t="s">
        <v>100</v>
      </c>
      <c r="B109" s="10" t="s">
        <v>62</v>
      </c>
      <c r="C109" s="10" t="s">
        <v>62</v>
      </c>
      <c r="D109" s="10" t="s">
        <v>62</v>
      </c>
      <c r="E109" s="4" t="s">
        <v>62</v>
      </c>
      <c r="F109" s="11" t="str">
        <f t="shared" si="212"/>
        <v>-</v>
      </c>
      <c r="G109" s="11" t="str">
        <f t="shared" si="213"/>
        <v>-</v>
      </c>
      <c r="H109" s="11" t="str">
        <f t="shared" si="214"/>
        <v>-</v>
      </c>
      <c r="I109" s="11" t="str">
        <f t="shared" si="215"/>
        <v>-</v>
      </c>
      <c r="J109" s="11" t="str">
        <f t="shared" si="190"/>
        <v>-</v>
      </c>
      <c r="K109" s="11" t="str">
        <f t="shared" si="191"/>
        <v>-</v>
      </c>
      <c r="L109" s="11" t="str">
        <f t="shared" si="192"/>
        <v>-</v>
      </c>
      <c r="M109" s="11" t="str">
        <f t="shared" si="193"/>
        <v>-</v>
      </c>
    </row>
    <row r="110" spans="1:1020 1025:2044 2049:3068 3073:4092 4097:5116 5121:6140 6145:7164 7169:8188 8193:9212 9217:10236 10241:11260 11265:12284 12289:13308 13313:14332 14337:15356 15361:16380" hidden="1" x14ac:dyDescent="0.3">
      <c r="A110" s="2" t="s">
        <v>101</v>
      </c>
      <c r="B110" s="10" t="s">
        <v>62</v>
      </c>
      <c r="C110" s="10" t="s">
        <v>62</v>
      </c>
      <c r="D110" s="10" t="s">
        <v>62</v>
      </c>
      <c r="E110" s="4" t="s">
        <v>62</v>
      </c>
      <c r="F110" s="11" t="str">
        <f t="shared" si="212"/>
        <v>-</v>
      </c>
      <c r="G110" s="11" t="str">
        <f t="shared" si="213"/>
        <v>-</v>
      </c>
      <c r="H110" s="11" t="str">
        <f t="shared" si="214"/>
        <v>-</v>
      </c>
      <c r="I110" s="11" t="str">
        <f t="shared" si="215"/>
        <v>-</v>
      </c>
      <c r="J110" s="11" t="str">
        <f t="shared" si="190"/>
        <v>-</v>
      </c>
      <c r="K110" s="11" t="str">
        <f t="shared" si="191"/>
        <v>-</v>
      </c>
      <c r="L110" s="11" t="str">
        <f t="shared" si="192"/>
        <v>-</v>
      </c>
      <c r="M110" s="11" t="str">
        <f t="shared" si="193"/>
        <v>-</v>
      </c>
    </row>
    <row r="111" spans="1:1020 1025:2044 2049:3068 3073:4092 4097:5116 5121:6140 6145:7164 7169:8188 8193:9212 9217:10236 10241:11260 11265:12284 12289:13308 13313:14332 14337:15356 15361:16380" hidden="1" x14ac:dyDescent="0.3">
      <c r="A111" s="2" t="s">
        <v>205</v>
      </c>
      <c r="B111" s="10">
        <v>0.14000000000000001</v>
      </c>
      <c r="C111" s="10">
        <v>0.38</v>
      </c>
      <c r="D111" s="10">
        <v>0.42</v>
      </c>
      <c r="E111" s="4" t="s">
        <v>48</v>
      </c>
      <c r="F111" s="11">
        <v>14.000000000000002</v>
      </c>
      <c r="G111" s="11">
        <v>38</v>
      </c>
      <c r="H111" s="11">
        <v>42</v>
      </c>
      <c r="I111" s="11">
        <v>100</v>
      </c>
      <c r="J111" s="11">
        <f t="shared" ref="J111" si="216">IFERROR(IF(B111&gt;1,B111,B111*100),"-")</f>
        <v>14.000000000000002</v>
      </c>
      <c r="K111" s="11">
        <f t="shared" ref="K111" si="217">IFERROR(IF(C111&gt;1,C111,C111*100),"-")</f>
        <v>38</v>
      </c>
      <c r="L111" s="11">
        <f t="shared" ref="L111" si="218">IFERROR(IF(D111&gt;1,D111,D111*100),"-")</f>
        <v>42</v>
      </c>
      <c r="M111" s="11">
        <f t="shared" ref="M111" si="219">IFERROR(IF(VALUE(E111)&lt;1,E111*1000,E111),"-")</f>
        <v>100</v>
      </c>
    </row>
    <row r="112" spans="1:1020 1025:2044 2049:3068 3073:4092 4097:5116 5121:6140 6145:7164 7169:8188 8193:9212 9217:10236 10241:11260 11265:12284 12289:13308 13313:14332 14337:15356 15361:16380" hidden="1" x14ac:dyDescent="0.3">
      <c r="A112" s="2" t="s">
        <v>102</v>
      </c>
      <c r="B112" s="10">
        <v>0.14000000000000001</v>
      </c>
      <c r="C112" s="10">
        <v>0.38</v>
      </c>
      <c r="D112" s="10">
        <v>0.42</v>
      </c>
      <c r="E112" s="4" t="s">
        <v>48</v>
      </c>
      <c r="F112" s="11">
        <v>14.000000000000002</v>
      </c>
      <c r="G112" s="11">
        <v>38</v>
      </c>
      <c r="H112" s="11">
        <v>42</v>
      </c>
      <c r="I112" s="11">
        <v>100</v>
      </c>
      <c r="J112" s="11">
        <f t="shared" si="190"/>
        <v>14.000000000000002</v>
      </c>
      <c r="K112" s="11">
        <f t="shared" si="191"/>
        <v>38</v>
      </c>
      <c r="L112" s="11">
        <f t="shared" si="192"/>
        <v>42</v>
      </c>
      <c r="M112" s="11">
        <f t="shared" si="193"/>
        <v>100</v>
      </c>
    </row>
    <row r="113" spans="1:13" hidden="1" x14ac:dyDescent="0.3">
      <c r="A113" s="2" t="s">
        <v>103</v>
      </c>
      <c r="B113" s="10" t="s">
        <v>62</v>
      </c>
      <c r="C113" s="10" t="s">
        <v>62</v>
      </c>
      <c r="D113" s="10" t="s">
        <v>62</v>
      </c>
      <c r="E113" s="4" t="s">
        <v>62</v>
      </c>
      <c r="F113" s="11" t="str">
        <f t="shared" si="212"/>
        <v>-</v>
      </c>
      <c r="G113" s="11" t="str">
        <f t="shared" si="213"/>
        <v>-</v>
      </c>
      <c r="H113" s="11" t="str">
        <f t="shared" si="214"/>
        <v>-</v>
      </c>
      <c r="I113" s="11" t="str">
        <f t="shared" si="215"/>
        <v>-</v>
      </c>
      <c r="J113" s="11" t="str">
        <f t="shared" si="190"/>
        <v>-</v>
      </c>
      <c r="K113" s="11" t="str">
        <f t="shared" si="191"/>
        <v>-</v>
      </c>
      <c r="L113" s="11" t="str">
        <f t="shared" si="192"/>
        <v>-</v>
      </c>
      <c r="M113" s="11" t="str">
        <f t="shared" si="193"/>
        <v>-</v>
      </c>
    </row>
    <row r="114" spans="1:13" hidden="1" x14ac:dyDescent="0.3">
      <c r="A114" s="2" t="s">
        <v>104</v>
      </c>
      <c r="B114" s="10">
        <v>7.0000000000000007E-2</v>
      </c>
      <c r="C114" s="10">
        <v>0.14000000000000001</v>
      </c>
      <c r="D114" s="10">
        <v>0.4</v>
      </c>
      <c r="E114" s="4" t="s">
        <v>30</v>
      </c>
      <c r="F114" s="11">
        <f t="shared" si="212"/>
        <v>7.0000000000000009</v>
      </c>
      <c r="G114" s="11">
        <f t="shared" si="213"/>
        <v>14.000000000000002</v>
      </c>
      <c r="H114" s="11">
        <f t="shared" si="214"/>
        <v>40</v>
      </c>
      <c r="I114" s="11">
        <f t="shared" si="215"/>
        <v>500</v>
      </c>
      <c r="J114" s="11">
        <f t="shared" si="190"/>
        <v>7.0000000000000009</v>
      </c>
      <c r="K114" s="11">
        <f t="shared" si="191"/>
        <v>14.000000000000002</v>
      </c>
      <c r="L114" s="11">
        <f t="shared" si="192"/>
        <v>40</v>
      </c>
      <c r="M114" s="11">
        <f t="shared" si="193"/>
        <v>500</v>
      </c>
    </row>
    <row r="115" spans="1:13" hidden="1" x14ac:dyDescent="0.3">
      <c r="A115" s="2" t="s">
        <v>105</v>
      </c>
      <c r="B115" s="10" t="s">
        <v>62</v>
      </c>
      <c r="C115" s="10" t="s">
        <v>62</v>
      </c>
      <c r="D115" s="10" t="s">
        <v>62</v>
      </c>
      <c r="E115" s="4" t="s">
        <v>62</v>
      </c>
      <c r="F115" s="11" t="str">
        <f t="shared" si="212"/>
        <v>-</v>
      </c>
      <c r="G115" s="11" t="str">
        <f t="shared" si="213"/>
        <v>-</v>
      </c>
      <c r="H115" s="11" t="str">
        <f t="shared" si="214"/>
        <v>-</v>
      </c>
      <c r="I115" s="11" t="str">
        <f t="shared" si="215"/>
        <v>-</v>
      </c>
      <c r="J115" s="11" t="str">
        <f t="shared" si="190"/>
        <v>-</v>
      </c>
      <c r="K115" s="11" t="str">
        <f t="shared" si="191"/>
        <v>-</v>
      </c>
      <c r="L115" s="11" t="str">
        <f t="shared" si="192"/>
        <v>-</v>
      </c>
      <c r="M115" s="11" t="str">
        <f t="shared" si="193"/>
        <v>-</v>
      </c>
    </row>
    <row r="116" spans="1:13" hidden="1" x14ac:dyDescent="0.3">
      <c r="A116" s="2"/>
      <c r="B116" s="10"/>
      <c r="C116" s="10"/>
      <c r="D116" s="10"/>
      <c r="E116" s="4"/>
      <c r="F116" s="11"/>
      <c r="G116" s="11"/>
      <c r="H116" s="11"/>
      <c r="I116" s="11"/>
      <c r="J116" s="11"/>
      <c r="K116" s="11"/>
      <c r="L116" s="11"/>
      <c r="M116" s="11"/>
    </row>
    <row r="117" spans="1:13" hidden="1" x14ac:dyDescent="0.3">
      <c r="A117" s="2" t="s">
        <v>107</v>
      </c>
      <c r="B117" s="10">
        <v>0.14000000000000001</v>
      </c>
      <c r="C117" s="10">
        <v>0.38</v>
      </c>
      <c r="D117" s="10">
        <v>0.42</v>
      </c>
      <c r="E117" s="4" t="s">
        <v>48</v>
      </c>
      <c r="F117" s="11">
        <v>14.000000000000002</v>
      </c>
      <c r="G117" s="11">
        <v>38</v>
      </c>
      <c r="H117" s="11">
        <v>42</v>
      </c>
      <c r="I117" s="11">
        <v>100</v>
      </c>
      <c r="J117" s="11">
        <f t="shared" ref="J117" si="220">IFERROR(IF(B117&gt;1,B117,B117*100),"-")</f>
        <v>14.000000000000002</v>
      </c>
      <c r="K117" s="11">
        <f t="shared" ref="K117" si="221">IFERROR(IF(C117&gt;1,C117,C117*100),"-")</f>
        <v>38</v>
      </c>
      <c r="L117" s="11">
        <f t="shared" ref="L117" si="222">IFERROR(IF(D117&gt;1,D117,D117*100),"-")</f>
        <v>42</v>
      </c>
      <c r="M117" s="11">
        <f t="shared" ref="M117" si="223">IFERROR(IF(VALUE(E117)&lt;1,E117*1000,E117),"-")</f>
        <v>100</v>
      </c>
    </row>
    <row r="118" spans="1:13" hidden="1" x14ac:dyDescent="0.3">
      <c r="A118" s="2" t="s">
        <v>108</v>
      </c>
      <c r="B118" s="10" t="s">
        <v>62</v>
      </c>
      <c r="C118" s="10" t="s">
        <v>62</v>
      </c>
      <c r="D118" s="10" t="s">
        <v>62</v>
      </c>
      <c r="E118" s="4" t="s">
        <v>62</v>
      </c>
      <c r="F118" s="11" t="str">
        <f t="shared" si="212"/>
        <v>-</v>
      </c>
      <c r="G118" s="11" t="str">
        <f t="shared" si="213"/>
        <v>-</v>
      </c>
      <c r="H118" s="11" t="str">
        <f t="shared" si="214"/>
        <v>-</v>
      </c>
      <c r="I118" s="11" t="str">
        <f t="shared" si="215"/>
        <v>-</v>
      </c>
      <c r="J118" s="11" t="str">
        <f t="shared" si="190"/>
        <v>-</v>
      </c>
      <c r="K118" s="11" t="str">
        <f t="shared" si="191"/>
        <v>-</v>
      </c>
      <c r="L118" s="11" t="str">
        <f t="shared" si="192"/>
        <v>-</v>
      </c>
      <c r="M118" s="11" t="str">
        <f t="shared" si="193"/>
        <v>-</v>
      </c>
    </row>
    <row r="119" spans="1:13" hidden="1" x14ac:dyDescent="0.3">
      <c r="A119" s="2" t="s">
        <v>225</v>
      </c>
      <c r="B119" s="7">
        <v>0.01</v>
      </c>
      <c r="C119" s="7">
        <v>0.1</v>
      </c>
      <c r="D119" s="7">
        <v>0.3</v>
      </c>
      <c r="E119" s="4">
        <v>0.02</v>
      </c>
      <c r="F119" s="11">
        <f t="shared" si="212"/>
        <v>1</v>
      </c>
      <c r="G119" s="11">
        <f t="shared" si="213"/>
        <v>10</v>
      </c>
      <c r="H119" s="11">
        <f t="shared" si="214"/>
        <v>30</v>
      </c>
      <c r="I119" s="11">
        <f t="shared" si="215"/>
        <v>20</v>
      </c>
    </row>
    <row r="120" spans="1:13" hidden="1" x14ac:dyDescent="0.3">
      <c r="A120" s="2" t="s">
        <v>226</v>
      </c>
      <c r="B120" s="7">
        <v>0.01</v>
      </c>
      <c r="C120" s="7">
        <v>0.1</v>
      </c>
      <c r="D120" s="7">
        <v>0.3</v>
      </c>
      <c r="E120" s="4">
        <v>0.02</v>
      </c>
      <c r="F120" s="11">
        <f t="shared" si="212"/>
        <v>1</v>
      </c>
      <c r="G120" s="11">
        <f t="shared" si="213"/>
        <v>10</v>
      </c>
      <c r="H120" s="11">
        <f t="shared" si="214"/>
        <v>30</v>
      </c>
      <c r="I120" s="11">
        <f t="shared" si="215"/>
        <v>20</v>
      </c>
    </row>
  </sheetData>
  <autoFilter ref="A1:XEZ120" xr:uid="{D3251E7E-4BAA-48C5-BD6E-881D4C9764BD}">
    <filterColumn colId="0">
      <filters>
        <filter val="MALETA"/>
        <filter val="MALETIN"/>
      </filters>
    </filterColumn>
  </autoFilter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2D53DDD3C8F74288C3CFD31218B143" ma:contentTypeVersion="18" ma:contentTypeDescription="Crear nuevo documento." ma:contentTypeScope="" ma:versionID="c7220eb7f21b18325c0f4ad17fd9a6ca">
  <xsd:schema xmlns:xsd="http://www.w3.org/2001/XMLSchema" xmlns:xs="http://www.w3.org/2001/XMLSchema" xmlns:p="http://schemas.microsoft.com/office/2006/metadata/properties" xmlns:ns2="efb78918-48f9-43eb-9c58-42fae40ec7b4" xmlns:ns3="5856d9f7-73eb-4367-89ec-4790ded140ab" targetNamespace="http://schemas.microsoft.com/office/2006/metadata/properties" ma:root="true" ma:fieldsID="279ce8f48a386154a21a9678c13cc570" ns2:_="" ns3:_="">
    <xsd:import namespace="efb78918-48f9-43eb-9c58-42fae40ec7b4"/>
    <xsd:import namespace="5856d9f7-73eb-4367-89ec-4790ded14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78918-48f9-43eb-9c58-42fae40ec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af3a51b-a0d7-40e7-b8ad-8e5ee4d3a5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6d9f7-73eb-4367-89ec-4790ded14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cc2ac9f-d862-4fe0-8268-4df22bfbb46b}" ma:internalName="TaxCatchAll" ma:showField="CatchAllData" ma:web="5856d9f7-73eb-4367-89ec-4790ded14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56d9f7-73eb-4367-89ec-4790ded140ab" xsi:nil="true"/>
    <lcf76f155ced4ddcb4097134ff3c332f xmlns="efb78918-48f9-43eb-9c58-42fae40ec7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2C094A-079C-4C74-BE44-0961BF279E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b78918-48f9-43eb-9c58-42fae40ec7b4"/>
    <ds:schemaRef ds:uri="5856d9f7-73eb-4367-89ec-4790ded140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9B1A1A-FCAB-4A39-B160-FA2B9ED685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A325AA-CA57-43AF-ADDB-33B93225BA34}">
  <ds:schemaRefs>
    <ds:schemaRef ds:uri="efb78918-48f9-43eb-9c58-42fae40ec7b4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856d9f7-73eb-4367-89ec-4790ded140ab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Hoja2</vt:lpstr>
      <vt:lpstr>H-M</vt:lpstr>
      <vt:lpstr>Hoja1</vt:lpstr>
      <vt:lpstr>Niños</vt:lpstr>
      <vt:lpstr>'H-M'!Títulos_a_imprimir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Nuñez Girao</dc:creator>
  <cp:keywords/>
  <dc:description/>
  <cp:lastModifiedBy>Hugo Camara</cp:lastModifiedBy>
  <cp:revision/>
  <dcterms:created xsi:type="dcterms:W3CDTF">2023-08-09T15:03:36Z</dcterms:created>
  <dcterms:modified xsi:type="dcterms:W3CDTF">2026-03-02T16:37:02Z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0x0101001A2D53DDD3C8F74288C3CFD31218B143</vt:lpwstr>
  </property>
  <property fmtid="{D5CDD505-2E9C-101B-9397-08002B2CF9AE}" pid="3" name="MediaServiceImageTags">
    <vt:lpwstr/>
  </property>
</Properties>
</file>